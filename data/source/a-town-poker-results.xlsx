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atthewoliver/Documents/Coding/ATownPokerSite/data/source/"/>
    </mc:Choice>
  </mc:AlternateContent>
  <xr:revisionPtr revIDLastSave="0" documentId="13_ncr:1_{4E9EFB10-43BA-2F4D-BEC9-5D579F48D590}" xr6:coauthVersionLast="47" xr6:coauthVersionMax="47" xr10:uidLastSave="{00000000-0000-0000-0000-000000000000}"/>
  <bookViews>
    <workbookView xWindow="0" yWindow="620" windowWidth="38400" windowHeight="19500" activeTab="4" xr2:uid="{00000000-000D-0000-FFFF-FFFF00000000}"/>
  </bookViews>
  <sheets>
    <sheet name="Start Here" sheetId="1" r:id="rId1"/>
    <sheet name="Tournaments" sheetId="2" r:id="rId2"/>
    <sheet name="Tournament Results" sheetId="3" r:id="rId3"/>
    <sheet name="Cash Games" sheetId="4" r:id="rId4"/>
    <sheet name="Cash Game Resul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H6" i="1"/>
</calcChain>
</file>

<file path=xl/sharedStrings.xml><?xml version="1.0" encoding="utf-8"?>
<sst xmlns="http://schemas.openxmlformats.org/spreadsheetml/2006/main" count="272" uniqueCount="91">
  <si>
    <t>A-TOWN POKER</t>
  </si>
  <si>
    <t>Edit this workbook, save it, and the site build will regenerate the JSON data automatically.</t>
  </si>
  <si>
    <t>HOW TO UPDATE THE SITE</t>
  </si>
  <si>
    <t>WORKBOOK SNAPSHOT</t>
  </si>
  <si>
    <t>Add or edit an event on the Tournaments or Cash Games sheet.</t>
  </si>
  <si>
    <t>Tournaments</t>
  </si>
  <si>
    <t>Add one row per player on the matching Results sheet, using the exact event ID.</t>
  </si>
  <si>
    <t>Upcoming tournaments</t>
  </si>
  <si>
    <t>For ties, enter T-1, T-2, and so on in the Placement column.</t>
  </si>
  <si>
    <t>Cash games</t>
  </si>
  <si>
    <t>Save the workbook. The next site build validates it and refreshes both JSON files.</t>
  </si>
  <si>
    <t>Tracked player rows</t>
  </si>
  <si>
    <t>IMPORTANT RULES</t>
  </si>
  <si>
    <t>• Do not rename worksheets or column headers; the converter uses those names.</t>
  </si>
  <si>
    <t>• IDs and slugs must be unique. Follow the existing lowercase, hyphenated examples.</t>
  </si>
  <si>
    <t>• Completed events must balance: tournament payouts equal buy-ins, and cash-out totals equal buy-ins.</t>
  </si>
  <si>
    <t>• Use completed or upcoming exactly. Upcoming events require a Start Time; completed events leave it blank.</t>
  </si>
  <si>
    <t>TOURNAMENTS</t>
  </si>
  <si>
    <t>One row per tournament. Start Time is required only when Status is upcoming.</t>
  </si>
  <si>
    <t>Add new rows directly below the table. Keep the sheet name and column headers unchanged.</t>
  </si>
  <si>
    <t>Tournament ID</t>
  </si>
  <si>
    <t>Slug</t>
  </si>
  <si>
    <t>Title</t>
  </si>
  <si>
    <t>Date</t>
  </si>
  <si>
    <t>Host</t>
  </si>
  <si>
    <t>Venue</t>
  </si>
  <si>
    <t>Status</t>
  </si>
  <si>
    <t>Start Time</t>
  </si>
  <si>
    <t>Initial Buy-In</t>
  </si>
  <si>
    <t>completed</t>
  </si>
  <si>
    <t>upcoming</t>
  </si>
  <si>
    <t>TOURNAMENT RESULTS</t>
  </si>
  <si>
    <t>One row per player. Upcoming registrations leave placement, round, and payout columns blank.</t>
  </si>
  <si>
    <t>Player</t>
  </si>
  <si>
    <t>Total Buy-In</t>
  </si>
  <si>
    <t>Placement</t>
  </si>
  <si>
    <t>Elimination Round</t>
  </si>
  <si>
    <t>Placement Payout</t>
  </si>
  <si>
    <t>Bonus Payout</t>
  </si>
  <si>
    <t>Champion</t>
  </si>
  <si>
    <t>Heads-up</t>
  </si>
  <si>
    <t>CASH GAMES</t>
  </si>
  <si>
    <t>One row per cash game. Start Time is required only when Status is upcoming.</t>
  </si>
  <si>
    <t>Cash Game ID</t>
  </si>
  <si>
    <t>CASH GAME RESULTS</t>
  </si>
  <si>
    <t>One row per player. Upcoming registrations leave Amount At End blank.</t>
  </si>
  <si>
    <t>Amount Buy-In</t>
  </si>
  <si>
    <t>Amount At End</t>
  </si>
  <si>
    <t>cash-game-2026-07-15</t>
  </si>
  <si>
    <t>Wednesday 7/15/26</t>
  </si>
  <si>
    <t>8 PM</t>
  </si>
  <si>
    <t>tournament-2026-03-28</t>
  </si>
  <si>
    <t>March 2026 Tournament</t>
  </si>
  <si>
    <t>Nate's House</t>
  </si>
  <si>
    <t>Nate F</t>
  </si>
  <si>
    <t>Ben H.</t>
  </si>
  <si>
    <t>Nate F.</t>
  </si>
  <si>
    <t>Sofia M.</t>
  </si>
  <si>
    <t>Luke K.</t>
  </si>
  <si>
    <t>Kyser E.</t>
  </si>
  <si>
    <t>Tony P.</t>
  </si>
  <si>
    <t>Adam B.</t>
  </si>
  <si>
    <t>Liam M.</t>
  </si>
  <si>
    <t>Justin A.</t>
  </si>
  <si>
    <t>1</t>
  </si>
  <si>
    <t>2</t>
  </si>
  <si>
    <t>Nathan C.</t>
  </si>
  <si>
    <t>Matt O.</t>
  </si>
  <si>
    <t>Sammy A.</t>
  </si>
  <si>
    <t>David P.</t>
  </si>
  <si>
    <t>tournament-2025-09-13</t>
  </si>
  <si>
    <t>A-Town Poker Inaugural Tournament</t>
  </si>
  <si>
    <t>Max A.</t>
  </si>
  <si>
    <t>T-1</t>
  </si>
  <si>
    <t>Joey E.</t>
  </si>
  <si>
    <t>Chase C.</t>
  </si>
  <si>
    <t>TBD 1</t>
  </si>
  <si>
    <t>TBD 2</t>
  </si>
  <si>
    <t>N/A</t>
  </si>
  <si>
    <t>Noah S.</t>
  </si>
  <si>
    <t>tournament-2026-08-01</t>
  </si>
  <si>
    <t>August 2026 Tournament</t>
  </si>
  <si>
    <t>Saturday 7/18/26</t>
  </si>
  <si>
    <t>cash-game-2026-07-18</t>
  </si>
  <si>
    <t>Matt's House</t>
  </si>
  <si>
    <t>Ethan N.</t>
  </si>
  <si>
    <t>cash-game-2026-07-22</t>
  </si>
  <si>
    <t>Wednesday 7/22/26</t>
  </si>
  <si>
    <t>Brian T.</t>
  </si>
  <si>
    <t>cash-game-2026-07-29</t>
  </si>
  <si>
    <t>Wednesday 7/29/26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</si>
</sst>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/yy;@"/>
  </numFmts>
  <fonts count="13">
    <font>
      <sz val="11"/>
      <name val="Carlito"/>
    </font>
    <font>
      <b/>
      <sz val="24"/>
      <color rgb="FFFFFFFF"/>
      <name val="Aptos Display"/>
    </font>
    <font>
      <sz val="11"/>
      <color rgb="FF17231D"/>
      <name val="Aptos"/>
    </font>
    <font>
      <b/>
      <sz val="10"/>
      <color rgb="FFFFFFFF"/>
      <name val="Aptos"/>
    </font>
    <font>
      <b/>
      <sz val="11"/>
      <color rgb="FF17231D"/>
      <name val="Aptos"/>
    </font>
    <font>
      <sz val="10"/>
      <color rgb="FF17231D"/>
      <name val="Aptos"/>
    </font>
    <font>
      <sz val="10"/>
      <color rgb="FF66736D"/>
      <name val="Aptos"/>
    </font>
    <font>
      <b/>
      <sz val="12"/>
      <color rgb="FF173F32"/>
      <name val="Aptos"/>
    </font>
    <font>
      <b/>
      <sz val="12"/>
      <color rgb="FFFFFFFF"/>
      <name val="Aptos"/>
    </font>
    <font>
      <sz val="12"/>
      <name val="Aptos"/>
    </font>
    <font>
      <i/>
      <sz val="12"/>
      <color rgb="FF17231D"/>
      <name val="Aptos"/>
    </font>
    <font>
      <sz val="12"/>
      <color rgb="FF66736D"/>
      <name val="Aptos"/>
    </font>
    <font>
      <sz val="12"/>
      <color rgb="FF17231D"/>
      <name val="Aptos"/>
    </font>
  </fonts>
  <fills count="9">
    <fill>
      <patternFill patternType="none"/>
    </fill>
    <fill>
      <patternFill patternType="gray125"/>
    </fill>
    <fill>
      <patternFill patternType="solid">
        <fgColor rgb="FF173F32"/>
      </patternFill>
    </fill>
    <fill>
      <patternFill patternType="solid">
        <fgColor rgb="FFDDECE4"/>
      </patternFill>
    </fill>
    <fill>
      <patternFill patternType="solid">
        <fgColor rgb="FF2E6A52"/>
      </patternFill>
    </fill>
    <fill>
      <patternFill patternType="solid">
        <fgColor rgb="FFC4A45D"/>
      </patternFill>
    </fill>
    <fill>
      <patternFill patternType="solid">
        <fgColor rgb="FFF2F7F4"/>
      </patternFill>
    </fill>
    <fill>
      <patternFill patternType="solid">
        <fgColor rgb="FFFFFFFF"/>
      </patternFill>
    </fill>
    <fill>
      <patternFill patternType="solid">
        <fgColor rgb="FFF7F3E8"/>
      </patternFill>
    </fill>
  </fills>
  <borders count="13">
    <border>
      <left/>
      <right/>
      <top/>
      <bottom/>
      <diagonal/>
    </border>
    <border>
      <left style="thin">
        <color rgb="FFC9D6CF"/>
      </left>
      <right/>
      <top style="thin">
        <color rgb="FFC9D6CF"/>
      </top>
      <bottom style="thin">
        <color rgb="FFC9D6CF"/>
      </bottom>
      <diagonal/>
    </border>
    <border>
      <left/>
      <right/>
      <top style="thin">
        <color rgb="FFC9D6CF"/>
      </top>
      <bottom style="thin">
        <color rgb="FFC9D6CF"/>
      </bottom>
      <diagonal/>
    </border>
    <border>
      <left/>
      <right style="thin">
        <color rgb="FFC9D6CF"/>
      </right>
      <top style="thin">
        <color rgb="FFC9D6CF"/>
      </top>
      <bottom style="thin">
        <color rgb="FFC9D6CF"/>
      </bottom>
      <diagonal/>
    </border>
    <border>
      <left style="thin">
        <color rgb="FF173F32"/>
      </left>
      <right/>
      <top style="thin">
        <color rgb="FF173F32"/>
      </top>
      <bottom style="thin">
        <color rgb="FF173F32"/>
      </bottom>
      <diagonal/>
    </border>
    <border>
      <left/>
      <right/>
      <top style="thin">
        <color rgb="FF173F32"/>
      </top>
      <bottom style="thin">
        <color rgb="FF173F32"/>
      </bottom>
      <diagonal/>
    </border>
    <border>
      <left/>
      <right style="thin">
        <color rgb="FF173F32"/>
      </right>
      <top style="thin">
        <color rgb="FF173F32"/>
      </top>
      <bottom style="thin">
        <color rgb="FF173F32"/>
      </bottom>
      <diagonal/>
    </border>
    <border>
      <left/>
      <right style="thin">
        <color rgb="FFE3EAE6"/>
      </right>
      <top/>
      <bottom style="thin">
        <color rgb="FFC9D6CF"/>
      </bottom>
      <diagonal/>
    </border>
    <border>
      <left style="thin">
        <color rgb="FFE3EAE6"/>
      </left>
      <right style="thin">
        <color rgb="FFE3EAE6"/>
      </right>
      <top/>
      <bottom style="thin">
        <color rgb="FFC9D6CF"/>
      </bottom>
      <diagonal/>
    </border>
    <border>
      <left style="thin">
        <color rgb="FFE3EAE6"/>
      </left>
      <right/>
      <top/>
      <bottom style="thin">
        <color rgb="FFC9D6CF"/>
      </bottom>
      <diagonal/>
    </border>
    <border>
      <left style="thin">
        <color rgb="FFE3EAE6"/>
      </left>
      <right style="thin">
        <color rgb="FFE3EAE6"/>
      </right>
      <top style="thin">
        <color rgb="FFC9D6CF"/>
      </top>
      <bottom style="thin">
        <color rgb="FFC9D6CF"/>
      </bottom>
      <diagonal/>
    </border>
    <border>
      <left style="thin">
        <color rgb="FFE3EAE6"/>
      </left>
      <right/>
      <top style="thin">
        <color rgb="FFC9D6CF"/>
      </top>
      <bottom style="thin">
        <color rgb="FFC9D6CF"/>
      </bottom>
      <diagonal/>
    </border>
    <border>
      <left/>
      <right style="thin">
        <color rgb="FFE3EAE6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4" fillId="5" borderId="0" xfId="0" applyFont="1" applyFill="1" applyAlignment="1">
      <alignment horizontal="center" vertical="center"/>
    </xf>
    <xf numFmtId="3" fontId="7" fillId="6" borderId="3" xfId="0" applyNumberFormat="1" applyFont="1" applyFill="1" applyBorder="1" applyAlignment="1">
      <alignment horizontal="right" vertical="center"/>
    </xf>
    <xf numFmtId="3" fontId="7" fillId="7" borderId="3" xfId="0" applyNumberFormat="1" applyFont="1" applyFill="1" applyBorder="1" applyAlignment="1">
      <alignment horizontal="right" vertical="center"/>
    </xf>
    <xf numFmtId="0" fontId="9" fillId="0" borderId="0" xfId="0" applyFont="1"/>
    <xf numFmtId="0" fontId="8" fillId="4" borderId="4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164" fontId="8" fillId="4" borderId="5" xfId="0" applyNumberFormat="1" applyFont="1" applyFill="1" applyBorder="1" applyAlignment="1">
      <alignment horizontal="left" vertical="center" wrapText="1"/>
    </xf>
    <xf numFmtId="164" fontId="8" fillId="4" borderId="6" xfId="0" applyNumberFormat="1" applyFont="1" applyFill="1" applyBorder="1" applyAlignment="1">
      <alignment horizontal="left" vertical="center" wrapText="1"/>
    </xf>
    <xf numFmtId="49" fontId="12" fillId="0" borderId="7" xfId="0" applyNumberFormat="1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164" fontId="12" fillId="0" borderId="8" xfId="0" applyNumberFormat="1" applyFont="1" applyBorder="1" applyAlignment="1">
      <alignment vertical="center"/>
    </xf>
    <xf numFmtId="164" fontId="12" fillId="0" borderId="9" xfId="0" applyNumberFormat="1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164" fontId="12" fillId="0" borderId="10" xfId="0" applyNumberFormat="1" applyFont="1" applyBorder="1" applyAlignment="1">
      <alignment vertical="center"/>
    </xf>
    <xf numFmtId="164" fontId="12" fillId="0" borderId="11" xfId="0" applyNumberFormat="1" applyFont="1" applyBorder="1" applyAlignment="1">
      <alignment vertical="center"/>
    </xf>
    <xf numFmtId="49" fontId="12" fillId="0" borderId="12" xfId="0" applyNumberFormat="1" applyFont="1" applyBorder="1" applyAlignment="1">
      <alignment vertical="center"/>
    </xf>
    <xf numFmtId="164" fontId="9" fillId="0" borderId="0" xfId="0" applyNumberFormat="1" applyFont="1"/>
    <xf numFmtId="49" fontId="12" fillId="0" borderId="8" xfId="0" applyNumberFormat="1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9" fillId="0" borderId="8" xfId="0" applyFont="1" applyBorder="1"/>
    <xf numFmtId="0" fontId="12" fillId="0" borderId="0" xfId="0" applyFont="1" applyAlignment="1">
      <alignment vertical="center"/>
    </xf>
    <xf numFmtId="0" fontId="9" fillId="0" borderId="10" xfId="0" applyFont="1" applyBorder="1"/>
    <xf numFmtId="164" fontId="9" fillId="0" borderId="8" xfId="0" applyNumberFormat="1" applyFont="1" applyBorder="1"/>
    <xf numFmtId="164" fontId="12" fillId="0" borderId="0" xfId="0" applyNumberFormat="1" applyFont="1" applyAlignment="1">
      <alignment vertical="center"/>
    </xf>
    <xf numFmtId="164" fontId="9" fillId="0" borderId="10" xfId="0" applyNumberFormat="1" applyFont="1" applyBorder="1"/>
    <xf numFmtId="0" fontId="9" fillId="0" borderId="8" xfId="0" applyFont="1" applyBorder="1" applyAlignment="1">
      <alignment horizontal="center"/>
    </xf>
    <xf numFmtId="49" fontId="12" fillId="0" borderId="0" xfId="0" applyNumberFormat="1" applyFont="1" applyAlignment="1">
      <alignment horizontal="center" vertical="center"/>
    </xf>
    <xf numFmtId="0" fontId="9" fillId="0" borderId="10" xfId="0" applyFont="1" applyBorder="1" applyAlignment="1">
      <alignment horizontal="center"/>
    </xf>
    <xf numFmtId="164" fontId="9" fillId="0" borderId="9" xfId="0" applyNumberFormat="1" applyFont="1" applyBorder="1"/>
    <xf numFmtId="164" fontId="9" fillId="0" borderId="11" xfId="0" applyNumberFormat="1" applyFont="1" applyBorder="1"/>
    <xf numFmtId="165" fontId="12" fillId="0" borderId="8" xfId="0" applyNumberFormat="1" applyFont="1" applyBorder="1" applyAlignment="1">
      <alignment horizontal="center" vertical="center"/>
    </xf>
    <xf numFmtId="165" fontId="8" fillId="4" borderId="5" xfId="0" applyNumberFormat="1" applyFont="1" applyFill="1" applyBorder="1" applyAlignment="1">
      <alignment horizontal="center" vertical="center" wrapText="1"/>
    </xf>
    <xf numFmtId="165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8" fontId="9" fillId="0" borderId="0" xfId="0" applyNumberFormat="1" applyFont="1"/>
    <xf numFmtId="0" fontId="12" fillId="0" borderId="0" xfId="0" applyFont="1"/>
    <xf numFmtId="18" fontId="12" fillId="0" borderId="0" xfId="0" applyNumberFormat="1" applyFont="1"/>
    <xf numFmtId="164" fontId="8" fillId="4" borderId="6" xfId="0" applyNumberFormat="1" applyFont="1" applyFill="1" applyBorder="1" applyAlignment="1">
      <alignment horizontal="center" vertical="center" wrapText="1"/>
    </xf>
    <xf numFmtId="164" fontId="12" fillId="0" borderId="9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8" fillId="2" borderId="0" xfId="0" applyFont="1" applyFill="1" applyAlignment="1">
      <alignment vertical="center"/>
    </xf>
    <xf numFmtId="0" fontId="10" fillId="3" borderId="0" xfId="0" applyFont="1" applyFill="1" applyAlignment="1">
      <alignment vertical="center" wrapText="1"/>
    </xf>
    <xf numFmtId="0" fontId="11" fillId="6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5" fillId="7" borderId="3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vertical="center" wrapText="1"/>
    </xf>
    <xf numFmtId="0" fontId="5" fillId="8" borderId="3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12" fillId="0" borderId="0" xfId="0" applyFont="1" applyBorder="1"/>
    <xf numFmtId="165" fontId="12" fillId="0" borderId="0" xfId="0" applyNumberFormat="1" applyFont="1" applyBorder="1" applyAlignment="1">
      <alignment horizontal="center"/>
    </xf>
    <xf numFmtId="164" fontId="12" fillId="0" borderId="0" xfId="0" applyNumberFormat="1" applyFont="1" applyBorder="1" applyAlignment="1">
      <alignment horizontal="center"/>
    </xf>
    <xf numFmtId="18" fontId="12" fillId="0" borderId="0" xfId="0" applyNumberFormat="1" applyFont="1" applyBorder="1"/>
  </cellXfs>
  <cellStyles count="1">
    <cellStyle name="Normal" xfId="0" builtinId="0"/>
  </cellStyles>
  <dxfs count="39">
    <dxf>
      <font>
        <b/>
        <color rgb="FF173F32"/>
      </font>
      <fill>
        <patternFill patternType="solid">
          <bgColor rgb="FFDDECE4"/>
        </patternFill>
      </fill>
    </dxf>
    <dxf>
      <font>
        <b/>
        <color rgb="FF173F32"/>
      </font>
      <fill>
        <patternFill patternType="solid">
          <bgColor rgb="FFDDECE4"/>
        </patternFill>
      </fill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164" formatCode="&quot;$&quot;#,##0.0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164" formatCode="&quot;$&quot;#,##0.00"/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7231D"/>
        <name val="Aptos"/>
        <scheme val="none"/>
      </font>
      <numFmt numFmtId="164" formatCode="&quot;$&quot;#,##0.00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7231D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7231D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7231D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7231D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7231D"/>
        <name val="Aptos"/>
        <scheme val="none"/>
      </font>
      <numFmt numFmtId="165" formatCode="m/d/yy;@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17231D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7231D"/>
        <name val="Aptos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E3EAE6"/>
        </right>
        <top/>
        <bottom style="thin">
          <color rgb="FFC9D6CF"/>
        </bottom>
      </border>
    </dxf>
    <dxf>
      <font>
        <strike val="0"/>
        <outline val="0"/>
        <shadow val="0"/>
        <u val="none"/>
        <vertAlign val="baseline"/>
        <sz val="12"/>
        <color rgb="FF17231D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17231D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164" formatCode="&quot;$&quot;#,##0.00"/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165" formatCode="m/d/yy;@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7231D"/>
        <name val="Aptos"/>
        <scheme val="none"/>
      </font>
      <numFmt numFmtId="30" formatCode="@"/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E3EAE6"/>
        </right>
        <top/>
        <bottom style="thin">
          <color rgb="FFC9D6CF"/>
        </bottom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164" formatCode="&quot;$&quot;#,##0.0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164" formatCode="&quot;$&quot;#,##0.00"/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"/>
        <scheme val="none"/>
      </font>
      <numFmt numFmtId="164" formatCode="&quot;$&quot;#,##0.00"/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urnamentsTable" displayName="TournamentsTable" ref="A4:I7" totalsRowShown="0" headerRowDxfId="29" dataDxfId="28">
  <tableColumns count="9">
    <tableColumn id="1" xr3:uid="{00000000-0010-0000-0000-000001000000}" name="Tournament ID" dataDxfId="27"/>
    <tableColumn id="2" xr3:uid="{00000000-0010-0000-0000-000002000000}" name="Slug" dataDxfId="26"/>
    <tableColumn id="3" xr3:uid="{00000000-0010-0000-0000-000003000000}" name="Title" dataDxfId="25"/>
    <tableColumn id="4" xr3:uid="{00000000-0010-0000-0000-000004000000}" name="Date" dataDxfId="24"/>
    <tableColumn id="5" xr3:uid="{00000000-0010-0000-0000-000005000000}" name="Host" dataDxfId="23"/>
    <tableColumn id="6" xr3:uid="{00000000-0010-0000-0000-000006000000}" name="Venue" dataDxfId="22"/>
    <tableColumn id="7" xr3:uid="{00000000-0010-0000-0000-000007000000}" name="Status" dataDxfId="21"/>
    <tableColumn id="8" xr3:uid="{00000000-0010-0000-0000-000008000000}" name="Start Time" dataDxfId="20"/>
    <tableColumn id="9" xr3:uid="{00000000-0010-0000-0000-000009000000}" name="Initial Buy-In" dataDxfId="1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urnamentResultsTable" displayName="TournamentResultsTable" ref="A4:G37" totalsRowShown="0" headerRowDxfId="38" dataDxfId="37">
  <sortState xmlns:xlrd2="http://schemas.microsoft.com/office/spreadsheetml/2017/richdata2" ref="A5:G35">
    <sortCondition ref="A6:A35"/>
  </sortState>
  <tableColumns count="7">
    <tableColumn id="1" xr3:uid="{00000000-0010-0000-0100-000001000000}" name="Tournament ID" dataDxfId="36"/>
    <tableColumn id="2" xr3:uid="{00000000-0010-0000-0100-000002000000}" name="Player" dataDxfId="35"/>
    <tableColumn id="3" xr3:uid="{00000000-0010-0000-0100-000003000000}" name="Total Buy-In" dataDxfId="34"/>
    <tableColumn id="4" xr3:uid="{00000000-0010-0000-0100-000004000000}" name="Placement" dataDxfId="33"/>
    <tableColumn id="5" xr3:uid="{00000000-0010-0000-0100-000005000000}" name="Elimination Round" dataDxfId="32"/>
    <tableColumn id="6" xr3:uid="{00000000-0010-0000-0100-000006000000}" name="Placement Payout" dataDxfId="31"/>
    <tableColumn id="7" xr3:uid="{00000000-0010-0000-0100-000007000000}" name="Bonus Payout" dataDxfId="30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shGamesTable" displayName="CashGamesTable" ref="A4:I8" totalsRowShown="0" headerRowDxfId="18" dataDxfId="17">
  <tableColumns count="9">
    <tableColumn id="1" xr3:uid="{00000000-0010-0000-0200-000001000000}" name="Cash Game ID" dataDxfId="16"/>
    <tableColumn id="2" xr3:uid="{00000000-0010-0000-0200-000002000000}" name="Slug" dataDxfId="15"/>
    <tableColumn id="3" xr3:uid="{00000000-0010-0000-0200-000003000000}" name="Title" dataDxfId="14"/>
    <tableColumn id="4" xr3:uid="{00000000-0010-0000-0200-000004000000}" name="Date" dataDxfId="13"/>
    <tableColumn id="5" xr3:uid="{00000000-0010-0000-0200-000005000000}" name="Host" dataDxfId="12"/>
    <tableColumn id="6" xr3:uid="{00000000-0010-0000-0200-000006000000}" name="Venue" dataDxfId="11"/>
    <tableColumn id="7" xr3:uid="{00000000-0010-0000-0200-000007000000}" name="Status" dataDxfId="10"/>
    <tableColumn id="8" xr3:uid="{00000000-0010-0000-0200-000008000000}" name="Start Time" dataDxfId="9"/>
    <tableColumn id="9" xr3:uid="{00000000-0010-0000-0200-000009000000}" name="Initial Buy-In" dataDxfId="8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shGameResultsTable" displayName="CashGameResultsTable" ref="A4:D38" totalsRowShown="0" headerRowDxfId="7" dataDxfId="6">
  <sortState xmlns:xlrd2="http://schemas.microsoft.com/office/spreadsheetml/2017/richdata2" ref="A5:D21">
    <sortCondition ref="A15:A21"/>
  </sortState>
  <tableColumns count="4">
    <tableColumn id="1" xr3:uid="{00000000-0010-0000-0300-000001000000}" name="Cash Game ID" dataDxfId="5"/>
    <tableColumn id="2" xr3:uid="{00000000-0010-0000-0300-000002000000}" name="Player" dataDxfId="4"/>
    <tableColumn id="3" xr3:uid="{00000000-0010-0000-0300-000003000000}" name="Amount Buy-In" dataDxfId="3"/>
    <tableColumn id="4" xr3:uid="{00000000-0010-0000-0300-000004000000}" name="Amount At End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workbookViewId="0">
      <selection activeCell="F6" sqref="F6:G6"/>
    </sheetView>
  </sheetViews>
  <sheetFormatPr baseColWidth="10" defaultColWidth="8.83203125" defaultRowHeight="14"/>
  <cols>
    <col min="1" max="1" width="7" customWidth="1"/>
    <col min="2" max="4" width="18" customWidth="1"/>
    <col min="5" max="5" width="3" customWidth="1"/>
    <col min="6" max="6" width="20" customWidth="1"/>
    <col min="7" max="7" width="14" customWidth="1"/>
    <col min="8" max="8" width="12" customWidth="1"/>
  </cols>
  <sheetData>
    <row r="1" spans="1:8" ht="28" customHeight="1">
      <c r="A1" s="62" t="s">
        <v>0</v>
      </c>
      <c r="B1" s="62"/>
      <c r="C1" s="62"/>
      <c r="D1" s="62"/>
      <c r="E1" s="62"/>
      <c r="F1" s="62"/>
      <c r="G1" s="62"/>
      <c r="H1" s="62"/>
    </row>
    <row r="2" spans="1:8" ht="28" customHeight="1">
      <c r="A2" s="62"/>
      <c r="B2" s="62"/>
      <c r="C2" s="62"/>
      <c r="D2" s="62"/>
      <c r="E2" s="62"/>
      <c r="F2" s="62"/>
      <c r="G2" s="62"/>
      <c r="H2" s="62"/>
    </row>
    <row r="3" spans="1:8" ht="26" customHeight="1">
      <c r="A3" s="63" t="s">
        <v>1</v>
      </c>
      <c r="B3" s="63"/>
      <c r="C3" s="63"/>
      <c r="D3" s="63"/>
      <c r="E3" s="63"/>
      <c r="F3" s="63"/>
      <c r="G3" s="63"/>
      <c r="H3" s="63"/>
    </row>
    <row r="5" spans="1:8" ht="25" customHeight="1">
      <c r="A5" s="48" t="s">
        <v>2</v>
      </c>
      <c r="B5" s="48"/>
      <c r="C5" s="48"/>
      <c r="D5" s="48"/>
      <c r="F5" s="48" t="s">
        <v>3</v>
      </c>
      <c r="G5" s="48"/>
      <c r="H5" s="48"/>
    </row>
    <row r="6" spans="1:8" ht="34" customHeight="1">
      <c r="A6" s="1">
        <v>1</v>
      </c>
      <c r="B6" s="49" t="s">
        <v>4</v>
      </c>
      <c r="C6" s="50"/>
      <c r="D6" s="51"/>
      <c r="F6" s="58" t="s">
        <v>5</v>
      </c>
      <c r="G6" s="59"/>
      <c r="H6" s="2">
        <f>COUNTA(Tournaments!A5:A198)</f>
        <v>3</v>
      </c>
    </row>
    <row r="7" spans="1:8" ht="34" customHeight="1">
      <c r="A7" s="1">
        <v>2</v>
      </c>
      <c r="B7" s="52" t="s">
        <v>6</v>
      </c>
      <c r="C7" s="53"/>
      <c r="D7" s="54"/>
      <c r="F7" s="60" t="s">
        <v>7</v>
      </c>
      <c r="G7" s="61"/>
      <c r="H7" s="3">
        <f>COUNTIF(Tournaments!G5:G198,"upcoming")</f>
        <v>1</v>
      </c>
    </row>
    <row r="8" spans="1:8" ht="34" customHeight="1">
      <c r="A8" s="1">
        <v>3</v>
      </c>
      <c r="B8" s="49" t="s">
        <v>8</v>
      </c>
      <c r="C8" s="50"/>
      <c r="D8" s="51"/>
      <c r="F8" s="58" t="s">
        <v>9</v>
      </c>
      <c r="G8" s="59"/>
      <c r="H8" s="2">
        <f>COUNTA('Cash Games'!A5:A199)</f>
        <v>4</v>
      </c>
    </row>
    <row r="9" spans="1:8" ht="34" customHeight="1">
      <c r="A9" s="1">
        <v>4</v>
      </c>
      <c r="B9" s="52" t="s">
        <v>10</v>
      </c>
      <c r="C9" s="53"/>
      <c r="D9" s="54"/>
      <c r="F9" s="60" t="s">
        <v>11</v>
      </c>
      <c r="G9" s="61"/>
      <c r="H9" s="3">
        <f>COUNTA('Tournament Results'!B5:B448)+COUNTA('Cash Game Results'!B5:B459)</f>
        <v>67</v>
      </c>
    </row>
    <row r="12" spans="1:8">
      <c r="A12" s="48" t="s">
        <v>12</v>
      </c>
      <c r="B12" s="48"/>
      <c r="C12" s="48"/>
      <c r="D12" s="48"/>
      <c r="E12" s="48"/>
      <c r="F12" s="48"/>
      <c r="G12" s="48"/>
      <c r="H12" s="48"/>
    </row>
    <row r="13" spans="1:8" ht="28" customHeight="1">
      <c r="A13" s="49" t="s">
        <v>13</v>
      </c>
      <c r="B13" s="50"/>
      <c r="C13" s="50"/>
      <c r="D13" s="50"/>
      <c r="E13" s="50"/>
      <c r="F13" s="50"/>
      <c r="G13" s="50"/>
      <c r="H13" s="51"/>
    </row>
    <row r="14" spans="1:8" ht="28" customHeight="1">
      <c r="A14" s="52" t="s">
        <v>14</v>
      </c>
      <c r="B14" s="53"/>
      <c r="C14" s="53"/>
      <c r="D14" s="53"/>
      <c r="E14" s="53"/>
      <c r="F14" s="53"/>
      <c r="G14" s="53"/>
      <c r="H14" s="54"/>
    </row>
    <row r="15" spans="1:8" ht="28" customHeight="1">
      <c r="A15" s="55" t="s">
        <v>15</v>
      </c>
      <c r="B15" s="56"/>
      <c r="C15" s="56"/>
      <c r="D15" s="56"/>
      <c r="E15" s="56"/>
      <c r="F15" s="56"/>
      <c r="G15" s="56"/>
      <c r="H15" s="57"/>
    </row>
    <row r="16" spans="1:8" ht="28" customHeight="1">
      <c r="A16" s="52" t="s">
        <v>16</v>
      </c>
      <c r="B16" s="53"/>
      <c r="C16" s="53"/>
      <c r="D16" s="53"/>
      <c r="E16" s="53"/>
      <c r="F16" s="53"/>
      <c r="G16" s="53"/>
      <c r="H16" s="54"/>
    </row>
  </sheetData>
  <mergeCells count="17">
    <mergeCell ref="A1:H2"/>
    <mergeCell ref="A3:H3"/>
    <mergeCell ref="A5:D5"/>
    <mergeCell ref="B6:D6"/>
    <mergeCell ref="B7:D7"/>
    <mergeCell ref="B8:D8"/>
    <mergeCell ref="B9:D9"/>
    <mergeCell ref="F5:H5"/>
    <mergeCell ref="F6:G6"/>
    <mergeCell ref="F7:G7"/>
    <mergeCell ref="F8:G8"/>
    <mergeCell ref="F9:G9"/>
    <mergeCell ref="A12:H12"/>
    <mergeCell ref="A13:H13"/>
    <mergeCell ref="A14:H14"/>
    <mergeCell ref="A15:H15"/>
    <mergeCell ref="A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showGridLines="0" zoomScale="109" workbookViewId="0">
      <selection activeCell="A7" sqref="A7"/>
    </sheetView>
  </sheetViews>
  <sheetFormatPr baseColWidth="10" defaultColWidth="8.83203125" defaultRowHeight="23" customHeight="1"/>
  <cols>
    <col min="1" max="1" width="21" style="4" customWidth="1"/>
    <col min="2" max="2" width="27" style="4" customWidth="1"/>
    <col min="3" max="3" width="34.33203125" style="4" customWidth="1"/>
    <col min="4" max="4" width="15" style="35" customWidth="1"/>
    <col min="5" max="5" width="19" style="4" customWidth="1"/>
    <col min="6" max="6" width="24" style="4" customWidth="1"/>
    <col min="7" max="7" width="13" style="36" customWidth="1"/>
    <col min="8" max="8" width="13" style="4" customWidth="1"/>
    <col min="9" max="9" width="15" style="17" customWidth="1"/>
    <col min="10" max="16384" width="8.83203125" style="4"/>
  </cols>
  <sheetData>
    <row r="1" spans="1:9" ht="23" customHeight="1">
      <c r="A1" s="45" t="s">
        <v>17</v>
      </c>
      <c r="B1" s="45"/>
      <c r="C1" s="45"/>
      <c r="D1" s="45"/>
      <c r="E1" s="45"/>
      <c r="F1" s="45"/>
      <c r="G1" s="45"/>
      <c r="H1" s="45"/>
      <c r="I1" s="45"/>
    </row>
    <row r="2" spans="1:9" ht="23" customHeight="1">
      <c r="A2" s="46" t="s">
        <v>18</v>
      </c>
      <c r="B2" s="46"/>
      <c r="C2" s="46"/>
      <c r="D2" s="46"/>
      <c r="E2" s="46"/>
      <c r="F2" s="46"/>
      <c r="G2" s="46"/>
      <c r="H2" s="46"/>
      <c r="I2" s="46"/>
    </row>
    <row r="3" spans="1:9" ht="23" customHeight="1">
      <c r="A3" s="47" t="s">
        <v>19</v>
      </c>
      <c r="B3" s="47"/>
      <c r="C3" s="47"/>
      <c r="D3" s="47"/>
      <c r="E3" s="47"/>
      <c r="F3" s="47"/>
      <c r="G3" s="47"/>
      <c r="H3" s="47"/>
      <c r="I3" s="47"/>
    </row>
    <row r="4" spans="1:9" ht="23" customHeight="1">
      <c r="A4" s="5" t="s">
        <v>20</v>
      </c>
      <c r="B4" s="6" t="s">
        <v>21</v>
      </c>
      <c r="C4" s="6" t="s">
        <v>22</v>
      </c>
      <c r="D4" s="34" t="s">
        <v>23</v>
      </c>
      <c r="E4" s="6" t="s">
        <v>24</v>
      </c>
      <c r="F4" s="6" t="s">
        <v>25</v>
      </c>
      <c r="G4" s="19" t="s">
        <v>26</v>
      </c>
      <c r="H4" s="6" t="s">
        <v>27</v>
      </c>
      <c r="I4" s="8" t="s">
        <v>28</v>
      </c>
    </row>
    <row r="5" spans="1:9" ht="23" customHeight="1">
      <c r="A5" s="9" t="s">
        <v>51</v>
      </c>
      <c r="B5" s="9" t="s">
        <v>51</v>
      </c>
      <c r="C5" s="10" t="s">
        <v>52</v>
      </c>
      <c r="D5" s="33">
        <v>46109</v>
      </c>
      <c r="E5" s="10" t="s">
        <v>54</v>
      </c>
      <c r="F5" s="10" t="s">
        <v>53</v>
      </c>
      <c r="G5" s="21" t="s">
        <v>29</v>
      </c>
      <c r="H5" s="18"/>
      <c r="I5" s="12">
        <v>20</v>
      </c>
    </row>
    <row r="6" spans="1:9" ht="23" customHeight="1">
      <c r="A6" s="16" t="s">
        <v>70</v>
      </c>
      <c r="B6" s="16" t="s">
        <v>70</v>
      </c>
      <c r="C6" s="4" t="s">
        <v>71</v>
      </c>
      <c r="D6" s="35">
        <v>45913</v>
      </c>
      <c r="E6" s="4" t="s">
        <v>54</v>
      </c>
      <c r="F6" s="4" t="s">
        <v>53</v>
      </c>
      <c r="G6" s="21" t="s">
        <v>29</v>
      </c>
      <c r="I6" s="17">
        <v>20</v>
      </c>
    </row>
    <row r="7" spans="1:9" ht="23" customHeight="1">
      <c r="A7" s="16" t="s">
        <v>80</v>
      </c>
      <c r="B7" s="16" t="s">
        <v>80</v>
      </c>
      <c r="C7" s="10" t="s">
        <v>81</v>
      </c>
      <c r="D7" s="35">
        <v>46235</v>
      </c>
      <c r="E7" s="4" t="s">
        <v>54</v>
      </c>
      <c r="F7" s="4" t="s">
        <v>53</v>
      </c>
      <c r="G7" s="36" t="s">
        <v>30</v>
      </c>
      <c r="H7" s="37">
        <v>0.77083333333333337</v>
      </c>
      <c r="I7" s="17">
        <v>20</v>
      </c>
    </row>
  </sheetData>
  <mergeCells count="3">
    <mergeCell ref="A1:I1"/>
    <mergeCell ref="A2:I2"/>
    <mergeCell ref="A3:I3"/>
  </mergeCells>
  <conditionalFormatting sqref="G5:G198">
    <cfRule type="containsText" dxfId="1" priority="1" operator="containsText" text="upcoming"/>
  </conditionalFormatting>
  <dataValidations count="2">
    <dataValidation type="list" sqref="G5:G198" xr:uid="{00000000-0002-0000-0100-000000000000}">
      <formula1>"completed,upcoming"</formula1>
    </dataValidation>
    <dataValidation type="whole" sqref="I5:I198" xr:uid="{00000000-0002-0000-0100-000001000000}">
      <formula1>1</formula1>
      <formula2>1000000</formula2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showGridLines="0" topLeftCell="A3" workbookViewId="0">
      <selection activeCell="C22" sqref="C22"/>
    </sheetView>
  </sheetViews>
  <sheetFormatPr baseColWidth="10" defaultColWidth="8.83203125" defaultRowHeight="23" customHeight="1"/>
  <cols>
    <col min="1" max="1" width="22.83203125" style="4" customWidth="1"/>
    <col min="2" max="2" width="20" style="4" customWidth="1"/>
    <col min="3" max="3" width="15" style="17" customWidth="1"/>
    <col min="4" max="4" width="13" style="20" customWidth="1"/>
    <col min="5" max="5" width="22" style="4" customWidth="1"/>
    <col min="6" max="6" width="18" style="17" customWidth="1"/>
    <col min="7" max="7" width="15" style="17" customWidth="1"/>
    <col min="8" max="16384" width="8.83203125" style="4"/>
  </cols>
  <sheetData>
    <row r="1" spans="1:7" ht="23" customHeight="1">
      <c r="A1" s="45" t="s">
        <v>31</v>
      </c>
      <c r="B1" s="45"/>
      <c r="C1" s="45"/>
      <c r="D1" s="45"/>
      <c r="E1" s="45"/>
      <c r="F1" s="45"/>
      <c r="G1" s="45"/>
    </row>
    <row r="2" spans="1:7" ht="23" customHeight="1">
      <c r="A2" s="46" t="s">
        <v>32</v>
      </c>
      <c r="B2" s="46"/>
      <c r="C2" s="46"/>
      <c r="D2" s="46"/>
      <c r="E2" s="46"/>
      <c r="F2" s="46"/>
      <c r="G2" s="46"/>
    </row>
    <row r="3" spans="1:7" ht="23" customHeight="1">
      <c r="A3" s="47" t="s">
        <v>19</v>
      </c>
      <c r="B3" s="47"/>
      <c r="C3" s="47"/>
      <c r="D3" s="47"/>
      <c r="E3" s="47"/>
      <c r="F3" s="47"/>
      <c r="G3" s="47"/>
    </row>
    <row r="4" spans="1:7" ht="23" customHeight="1">
      <c r="A4" s="5" t="s">
        <v>20</v>
      </c>
      <c r="B4" s="6" t="s">
        <v>33</v>
      </c>
      <c r="C4" s="7" t="s">
        <v>34</v>
      </c>
      <c r="D4" s="19" t="s">
        <v>35</v>
      </c>
      <c r="E4" s="6" t="s">
        <v>36</v>
      </c>
      <c r="F4" s="7" t="s">
        <v>37</v>
      </c>
      <c r="G4" s="8" t="s">
        <v>38</v>
      </c>
    </row>
    <row r="5" spans="1:7" ht="23" customHeight="1">
      <c r="A5" s="9" t="s">
        <v>70</v>
      </c>
      <c r="B5" s="22" t="s">
        <v>72</v>
      </c>
      <c r="C5" s="25">
        <v>40</v>
      </c>
      <c r="D5" s="28" t="s">
        <v>73</v>
      </c>
      <c r="E5" s="22" t="s">
        <v>78</v>
      </c>
      <c r="F5" s="25">
        <v>100</v>
      </c>
      <c r="G5" s="31">
        <v>0</v>
      </c>
    </row>
    <row r="6" spans="1:7" ht="23" customHeight="1">
      <c r="A6" s="9" t="s">
        <v>70</v>
      </c>
      <c r="B6" s="24" t="s">
        <v>74</v>
      </c>
      <c r="C6" s="27">
        <v>20</v>
      </c>
      <c r="D6" s="30" t="s">
        <v>73</v>
      </c>
      <c r="E6" s="24" t="s">
        <v>78</v>
      </c>
      <c r="F6" s="27">
        <v>100</v>
      </c>
      <c r="G6" s="32">
        <v>0</v>
      </c>
    </row>
    <row r="7" spans="1:7" ht="23" customHeight="1">
      <c r="A7" s="9" t="s">
        <v>70</v>
      </c>
      <c r="B7" s="4" t="s">
        <v>59</v>
      </c>
      <c r="C7" s="17">
        <v>20</v>
      </c>
      <c r="D7" s="20" t="s">
        <v>73</v>
      </c>
      <c r="E7" s="4" t="s">
        <v>78</v>
      </c>
      <c r="F7" s="17">
        <v>100</v>
      </c>
      <c r="G7" s="17">
        <v>0</v>
      </c>
    </row>
    <row r="8" spans="1:7" ht="23" customHeight="1">
      <c r="A8" s="9" t="s">
        <v>70</v>
      </c>
      <c r="B8" s="4" t="s">
        <v>67</v>
      </c>
      <c r="C8" s="17">
        <v>20</v>
      </c>
      <c r="D8" s="20" t="s">
        <v>73</v>
      </c>
      <c r="E8" s="4" t="s">
        <v>78</v>
      </c>
      <c r="F8" s="17">
        <v>100</v>
      </c>
      <c r="G8" s="17">
        <v>0</v>
      </c>
    </row>
    <row r="9" spans="1:7" ht="23" customHeight="1">
      <c r="A9" s="9" t="s">
        <v>70</v>
      </c>
      <c r="B9" s="4" t="s">
        <v>57</v>
      </c>
      <c r="C9" s="17">
        <v>20</v>
      </c>
      <c r="D9" s="20">
        <v>5</v>
      </c>
      <c r="E9" s="4" t="s">
        <v>78</v>
      </c>
      <c r="F9" s="17">
        <v>0</v>
      </c>
      <c r="G9" s="17">
        <v>0</v>
      </c>
    </row>
    <row r="10" spans="1:7" ht="23" customHeight="1">
      <c r="A10" s="9" t="s">
        <v>70</v>
      </c>
      <c r="B10" s="4" t="s">
        <v>60</v>
      </c>
      <c r="C10" s="17">
        <v>20</v>
      </c>
      <c r="D10" s="20">
        <v>6</v>
      </c>
      <c r="E10" s="4" t="s">
        <v>78</v>
      </c>
      <c r="F10" s="17">
        <v>0</v>
      </c>
      <c r="G10" s="17">
        <v>0</v>
      </c>
    </row>
    <row r="11" spans="1:7" ht="23" customHeight="1">
      <c r="A11" s="9" t="s">
        <v>70</v>
      </c>
      <c r="B11" s="4" t="s">
        <v>79</v>
      </c>
      <c r="C11" s="17">
        <v>20</v>
      </c>
      <c r="D11" s="20">
        <v>7</v>
      </c>
      <c r="E11" s="4" t="s">
        <v>78</v>
      </c>
      <c r="F11" s="17">
        <v>0</v>
      </c>
      <c r="G11" s="17">
        <v>0</v>
      </c>
    </row>
    <row r="12" spans="1:7" ht="23" customHeight="1">
      <c r="A12" s="9" t="s">
        <v>70</v>
      </c>
      <c r="B12" s="4" t="s">
        <v>75</v>
      </c>
      <c r="C12" s="17">
        <v>40</v>
      </c>
      <c r="D12" s="20">
        <v>8</v>
      </c>
      <c r="E12" s="4" t="s">
        <v>78</v>
      </c>
      <c r="F12" s="17">
        <v>0</v>
      </c>
      <c r="G12" s="17">
        <v>0</v>
      </c>
    </row>
    <row r="13" spans="1:7" ht="23" customHeight="1">
      <c r="A13" s="9" t="s">
        <v>70</v>
      </c>
      <c r="B13" s="4" t="s">
        <v>62</v>
      </c>
      <c r="C13" s="17">
        <v>20</v>
      </c>
      <c r="D13" s="20">
        <v>9</v>
      </c>
      <c r="E13" s="4" t="s">
        <v>78</v>
      </c>
      <c r="F13" s="17">
        <v>0</v>
      </c>
      <c r="G13" s="17">
        <v>0</v>
      </c>
    </row>
    <row r="14" spans="1:7" ht="23" customHeight="1">
      <c r="A14" s="9" t="s">
        <v>70</v>
      </c>
      <c r="B14" s="4" t="s">
        <v>77</v>
      </c>
      <c r="C14" s="17">
        <v>40</v>
      </c>
      <c r="D14" s="20">
        <v>10</v>
      </c>
      <c r="E14" s="4" t="s">
        <v>78</v>
      </c>
      <c r="F14" s="17">
        <v>0</v>
      </c>
      <c r="G14" s="17">
        <v>0</v>
      </c>
    </row>
    <row r="15" spans="1:7" ht="23" customHeight="1">
      <c r="A15" s="9" t="s">
        <v>70</v>
      </c>
      <c r="B15" s="4" t="s">
        <v>76</v>
      </c>
      <c r="C15" s="17">
        <v>20</v>
      </c>
      <c r="D15" s="20">
        <v>11</v>
      </c>
      <c r="E15" s="4" t="s">
        <v>78</v>
      </c>
      <c r="F15" s="17">
        <v>0</v>
      </c>
      <c r="G15" s="17">
        <v>0</v>
      </c>
    </row>
    <row r="16" spans="1:7" ht="23" customHeight="1">
      <c r="A16" s="9" t="s">
        <v>70</v>
      </c>
      <c r="B16" s="4" t="s">
        <v>63</v>
      </c>
      <c r="C16" s="17">
        <v>20</v>
      </c>
      <c r="D16" s="20">
        <v>12</v>
      </c>
      <c r="E16" s="4" t="s">
        <v>78</v>
      </c>
      <c r="F16" s="17">
        <v>0</v>
      </c>
      <c r="G16" s="17">
        <v>0</v>
      </c>
    </row>
    <row r="17" spans="1:7" ht="23" customHeight="1">
      <c r="A17" s="9" t="s">
        <v>70</v>
      </c>
      <c r="B17" s="4" t="s">
        <v>66</v>
      </c>
      <c r="C17" s="17">
        <v>20</v>
      </c>
      <c r="D17" s="20">
        <v>13</v>
      </c>
      <c r="E17" s="4" t="s">
        <v>78</v>
      </c>
      <c r="F17" s="17">
        <v>0</v>
      </c>
      <c r="G17" s="17">
        <v>0</v>
      </c>
    </row>
    <row r="18" spans="1:7" ht="23" customHeight="1">
      <c r="A18" s="9" t="s">
        <v>70</v>
      </c>
      <c r="B18" s="4" t="s">
        <v>58</v>
      </c>
      <c r="C18" s="17">
        <v>20</v>
      </c>
      <c r="D18" s="20">
        <v>14</v>
      </c>
      <c r="E18" s="4" t="s">
        <v>78</v>
      </c>
      <c r="F18" s="17">
        <v>0</v>
      </c>
      <c r="G18" s="17">
        <v>0</v>
      </c>
    </row>
    <row r="19" spans="1:7" ht="23" customHeight="1">
      <c r="A19" s="16" t="s">
        <v>70</v>
      </c>
      <c r="B19" s="4" t="s">
        <v>61</v>
      </c>
      <c r="C19" s="17">
        <v>20</v>
      </c>
      <c r="D19" s="20">
        <v>15</v>
      </c>
      <c r="E19" s="4" t="s">
        <v>78</v>
      </c>
      <c r="F19" s="17">
        <v>0</v>
      </c>
      <c r="G19" s="17">
        <v>0</v>
      </c>
    </row>
    <row r="20" spans="1:7" ht="23" customHeight="1">
      <c r="A20" s="16" t="s">
        <v>70</v>
      </c>
      <c r="B20" s="4" t="s">
        <v>68</v>
      </c>
      <c r="C20" s="17">
        <v>20</v>
      </c>
      <c r="D20" s="20">
        <v>16</v>
      </c>
      <c r="E20" s="4" t="s">
        <v>78</v>
      </c>
      <c r="F20" s="17">
        <v>0</v>
      </c>
      <c r="G20" s="17">
        <v>0</v>
      </c>
    </row>
    <row r="21" spans="1:7" ht="23" customHeight="1">
      <c r="A21" s="16" t="s">
        <v>70</v>
      </c>
      <c r="B21" s="4" t="s">
        <v>69</v>
      </c>
      <c r="C21" s="17">
        <v>20</v>
      </c>
      <c r="D21" s="20">
        <v>17</v>
      </c>
      <c r="E21" s="4" t="s">
        <v>78</v>
      </c>
      <c r="F21" s="17">
        <v>0</v>
      </c>
      <c r="G21" s="17">
        <v>0</v>
      </c>
    </row>
    <row r="22" spans="1:7" ht="23" customHeight="1">
      <c r="A22" s="16" t="s">
        <v>51</v>
      </c>
      <c r="B22" s="23" t="s">
        <v>55</v>
      </c>
      <c r="C22" s="26">
        <v>60</v>
      </c>
      <c r="D22" s="29" t="s">
        <v>64</v>
      </c>
      <c r="E22" s="23" t="s">
        <v>39</v>
      </c>
      <c r="F22" s="26">
        <v>200</v>
      </c>
      <c r="G22" s="26">
        <v>0</v>
      </c>
    </row>
    <row r="23" spans="1:7" ht="23" customHeight="1">
      <c r="A23" s="16" t="s">
        <v>51</v>
      </c>
      <c r="B23" s="23" t="s">
        <v>88</v>
      </c>
      <c r="C23" s="26">
        <v>20</v>
      </c>
      <c r="D23" s="29" t="s">
        <v>65</v>
      </c>
      <c r="E23" s="23" t="s">
        <v>40</v>
      </c>
      <c r="F23" s="26">
        <v>60</v>
      </c>
      <c r="G23" s="26">
        <v>0</v>
      </c>
    </row>
    <row r="24" spans="1:7" ht="23" customHeight="1">
      <c r="A24" s="16" t="s">
        <v>51</v>
      </c>
      <c r="B24" s="4" t="s">
        <v>56</v>
      </c>
      <c r="C24" s="17">
        <v>20</v>
      </c>
      <c r="D24" s="20">
        <v>3</v>
      </c>
      <c r="E24" s="4" t="s">
        <v>78</v>
      </c>
      <c r="F24" s="17">
        <v>40</v>
      </c>
      <c r="G24" s="17">
        <v>0</v>
      </c>
    </row>
    <row r="25" spans="1:7" ht="23" customHeight="1">
      <c r="A25" s="16" t="s">
        <v>51</v>
      </c>
      <c r="B25" s="4" t="s">
        <v>57</v>
      </c>
      <c r="C25" s="17">
        <v>20</v>
      </c>
      <c r="D25" s="20">
        <v>4</v>
      </c>
      <c r="E25" s="4" t="s">
        <v>78</v>
      </c>
      <c r="F25" s="17">
        <v>20</v>
      </c>
      <c r="G25" s="17">
        <v>0</v>
      </c>
    </row>
    <row r="26" spans="1:7" ht="23" customHeight="1">
      <c r="A26" s="16" t="s">
        <v>51</v>
      </c>
      <c r="B26" s="4" t="s">
        <v>60</v>
      </c>
      <c r="C26" s="17">
        <v>20</v>
      </c>
      <c r="D26" s="20">
        <v>5</v>
      </c>
      <c r="E26" s="4" t="s">
        <v>78</v>
      </c>
      <c r="F26" s="17">
        <v>0</v>
      </c>
      <c r="G26" s="17">
        <v>0</v>
      </c>
    </row>
    <row r="27" spans="1:7" ht="23" customHeight="1">
      <c r="A27" s="16" t="s">
        <v>51</v>
      </c>
      <c r="B27" s="4" t="s">
        <v>58</v>
      </c>
      <c r="C27" s="17">
        <v>20</v>
      </c>
      <c r="D27" s="20">
        <v>6</v>
      </c>
      <c r="E27" s="4" t="s">
        <v>78</v>
      </c>
      <c r="F27" s="17">
        <v>0</v>
      </c>
      <c r="G27" s="17">
        <v>0</v>
      </c>
    </row>
    <row r="28" spans="1:7" ht="23" customHeight="1">
      <c r="A28" s="16" t="s">
        <v>51</v>
      </c>
      <c r="B28" s="4" t="s">
        <v>79</v>
      </c>
      <c r="C28" s="17">
        <v>20</v>
      </c>
      <c r="D28" s="20">
        <v>7</v>
      </c>
      <c r="E28" s="4" t="s">
        <v>78</v>
      </c>
      <c r="F28" s="17">
        <v>0</v>
      </c>
      <c r="G28" s="17">
        <v>0</v>
      </c>
    </row>
    <row r="29" spans="1:7" ht="23" customHeight="1">
      <c r="A29" s="16" t="s">
        <v>51</v>
      </c>
      <c r="B29" s="4" t="s">
        <v>61</v>
      </c>
      <c r="C29" s="17">
        <v>20</v>
      </c>
      <c r="D29" s="20">
        <v>8</v>
      </c>
      <c r="E29" s="4" t="s">
        <v>78</v>
      </c>
      <c r="F29" s="17">
        <v>0</v>
      </c>
      <c r="G29" s="17">
        <v>0</v>
      </c>
    </row>
    <row r="30" spans="1:7" ht="23" customHeight="1">
      <c r="A30" s="16" t="s">
        <v>51</v>
      </c>
      <c r="B30" s="4" t="s">
        <v>63</v>
      </c>
      <c r="C30" s="17">
        <v>20</v>
      </c>
      <c r="D30" s="20">
        <v>9</v>
      </c>
      <c r="E30" s="4" t="s">
        <v>78</v>
      </c>
      <c r="F30" s="17">
        <v>0</v>
      </c>
      <c r="G30" s="17">
        <v>0</v>
      </c>
    </row>
    <row r="31" spans="1:7" ht="23" customHeight="1">
      <c r="A31" s="16" t="s">
        <v>51</v>
      </c>
      <c r="B31" s="4" t="s">
        <v>59</v>
      </c>
      <c r="C31" s="17">
        <v>20</v>
      </c>
      <c r="D31" s="20">
        <v>10</v>
      </c>
      <c r="E31" s="4" t="s">
        <v>78</v>
      </c>
      <c r="F31" s="17">
        <v>0</v>
      </c>
      <c r="G31" s="17">
        <v>0</v>
      </c>
    </row>
    <row r="32" spans="1:7" ht="23" customHeight="1">
      <c r="A32" s="16" t="s">
        <v>51</v>
      </c>
      <c r="B32" s="4" t="s">
        <v>67</v>
      </c>
      <c r="C32" s="17">
        <v>20</v>
      </c>
      <c r="D32" s="20">
        <v>11</v>
      </c>
      <c r="E32" s="4" t="s">
        <v>78</v>
      </c>
      <c r="F32" s="17">
        <v>0</v>
      </c>
      <c r="G32" s="17">
        <v>0</v>
      </c>
    </row>
    <row r="33" spans="1:7" ht="23" customHeight="1">
      <c r="A33" s="16" t="s">
        <v>51</v>
      </c>
      <c r="B33" s="4" t="s">
        <v>68</v>
      </c>
      <c r="C33" s="17">
        <v>20</v>
      </c>
      <c r="D33" s="20">
        <v>12</v>
      </c>
      <c r="E33" s="4" t="s">
        <v>78</v>
      </c>
      <c r="F33" s="17">
        <v>0</v>
      </c>
      <c r="G33" s="17">
        <v>0</v>
      </c>
    </row>
    <row r="34" spans="1:7" ht="23" customHeight="1">
      <c r="A34" s="16" t="s">
        <v>51</v>
      </c>
      <c r="B34" s="4" t="s">
        <v>69</v>
      </c>
      <c r="C34" s="17">
        <v>20</v>
      </c>
      <c r="D34" s="20">
        <v>13</v>
      </c>
      <c r="E34" s="4" t="s">
        <v>78</v>
      </c>
      <c r="F34" s="17">
        <v>0</v>
      </c>
      <c r="G34" s="17">
        <v>0</v>
      </c>
    </row>
    <row r="35" spans="1:7" ht="23" customHeight="1">
      <c r="A35" s="16" t="s">
        <v>51</v>
      </c>
      <c r="B35" s="4" t="s">
        <v>62</v>
      </c>
      <c r="C35" s="17">
        <v>20</v>
      </c>
      <c r="D35" s="20">
        <v>14</v>
      </c>
      <c r="E35" s="4" t="s">
        <v>78</v>
      </c>
      <c r="F35" s="17">
        <v>0</v>
      </c>
      <c r="G35" s="17">
        <v>0</v>
      </c>
    </row>
    <row r="36" spans="1:7" ht="23" customHeight="1">
      <c r="A36" s="16" t="s">
        <v>80</v>
      </c>
      <c r="B36" s="4" t="s">
        <v>56</v>
      </c>
      <c r="C36" s="17">
        <v>20</v>
      </c>
    </row>
    <row r="37" spans="1:7" ht="23" customHeight="1">
      <c r="A37" s="16" t="s">
        <v>80</v>
      </c>
      <c r="B37" s="4" t="s">
        <v>67</v>
      </c>
      <c r="C37" s="17">
        <v>20</v>
      </c>
    </row>
  </sheetData>
  <mergeCells count="3">
    <mergeCell ref="A1:G1"/>
    <mergeCell ref="A2:G2"/>
    <mergeCell ref="A3:G3"/>
  </mergeCells>
  <dataValidations count="2">
    <dataValidation type="whole" sqref="C5:C448" xr:uid="{00000000-0002-0000-0200-000000000000}">
      <formula1>1</formula1>
      <formula2>1000000</formula2>
    </dataValidation>
    <dataValidation type="whole" sqref="F5:G448" xr:uid="{00000000-0002-0000-0200-000001000000}">
      <formula1>0</formula1>
      <formula2>1000000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showGridLines="0" workbookViewId="0">
      <selection activeCell="A8" sqref="A8"/>
    </sheetView>
  </sheetViews>
  <sheetFormatPr baseColWidth="10" defaultColWidth="8.83203125" defaultRowHeight="24" customHeight="1"/>
  <cols>
    <col min="1" max="1" width="21" style="4" customWidth="1"/>
    <col min="2" max="2" width="27" style="4" customWidth="1"/>
    <col min="3" max="3" width="24" style="4" customWidth="1"/>
    <col min="4" max="4" width="23.83203125" style="35" customWidth="1"/>
    <col min="5" max="5" width="19" style="4" customWidth="1"/>
    <col min="6" max="6" width="24" style="4" customWidth="1"/>
    <col min="7" max="8" width="13" style="4" customWidth="1"/>
    <col min="9" max="9" width="15" style="43" customWidth="1"/>
    <col min="10" max="16384" width="8.83203125" style="4"/>
  </cols>
  <sheetData>
    <row r="1" spans="1:9" ht="24" customHeight="1">
      <c r="A1" s="45" t="s">
        <v>41</v>
      </c>
      <c r="B1" s="45"/>
      <c r="C1" s="45"/>
      <c r="D1" s="45"/>
      <c r="E1" s="45"/>
      <c r="F1" s="45"/>
      <c r="G1" s="45"/>
      <c r="H1" s="45"/>
      <c r="I1" s="45"/>
    </row>
    <row r="2" spans="1:9" ht="24" customHeight="1">
      <c r="A2" s="46" t="s">
        <v>42</v>
      </c>
      <c r="B2" s="46"/>
      <c r="C2" s="46"/>
      <c r="D2" s="46"/>
      <c r="E2" s="46"/>
      <c r="F2" s="46"/>
      <c r="G2" s="46"/>
      <c r="H2" s="46"/>
      <c r="I2" s="46"/>
    </row>
    <row r="3" spans="1:9" ht="24" customHeight="1">
      <c r="A3" s="47" t="s">
        <v>19</v>
      </c>
      <c r="B3" s="47"/>
      <c r="C3" s="47"/>
      <c r="D3" s="47"/>
      <c r="E3" s="47"/>
      <c r="F3" s="47"/>
      <c r="G3" s="47"/>
      <c r="H3" s="47"/>
      <c r="I3" s="47"/>
    </row>
    <row r="4" spans="1:9" ht="24" customHeight="1">
      <c r="A4" s="5" t="s">
        <v>43</v>
      </c>
      <c r="B4" s="6" t="s">
        <v>21</v>
      </c>
      <c r="C4" s="6" t="s">
        <v>22</v>
      </c>
      <c r="D4" s="34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40" t="s">
        <v>28</v>
      </c>
    </row>
    <row r="5" spans="1:9" ht="24" customHeight="1">
      <c r="A5" s="9" t="s">
        <v>48</v>
      </c>
      <c r="B5" s="9" t="s">
        <v>48</v>
      </c>
      <c r="C5" s="10" t="s">
        <v>49</v>
      </c>
      <c r="D5" s="33">
        <v>46218</v>
      </c>
      <c r="E5" s="10" t="s">
        <v>67</v>
      </c>
      <c r="F5" s="10" t="s">
        <v>84</v>
      </c>
      <c r="G5" s="21" t="s">
        <v>29</v>
      </c>
      <c r="H5" s="18" t="s">
        <v>50</v>
      </c>
      <c r="I5" s="41">
        <v>20</v>
      </c>
    </row>
    <row r="6" spans="1:9" ht="24" customHeight="1">
      <c r="A6" s="16" t="s">
        <v>83</v>
      </c>
      <c r="B6" s="16" t="s">
        <v>83</v>
      </c>
      <c r="C6" s="38" t="s">
        <v>82</v>
      </c>
      <c r="D6" s="44">
        <v>46221</v>
      </c>
      <c r="E6" s="38" t="s">
        <v>56</v>
      </c>
      <c r="F6" s="38" t="s">
        <v>53</v>
      </c>
      <c r="G6" s="21" t="s">
        <v>29</v>
      </c>
      <c r="H6" s="39">
        <v>0.83333333333333337</v>
      </c>
      <c r="I6" s="42">
        <v>20</v>
      </c>
    </row>
    <row r="7" spans="1:9" ht="24" customHeight="1">
      <c r="A7" s="16" t="s">
        <v>86</v>
      </c>
      <c r="B7" s="16" t="s">
        <v>86</v>
      </c>
      <c r="C7" s="10" t="s">
        <v>87</v>
      </c>
      <c r="D7" s="44">
        <v>46225</v>
      </c>
      <c r="E7" s="38" t="s">
        <v>67</v>
      </c>
      <c r="F7" s="38" t="s">
        <v>84</v>
      </c>
      <c r="G7" s="38" t="s">
        <v>29</v>
      </c>
      <c r="H7" s="39">
        <v>0.83333333333333337</v>
      </c>
      <c r="I7" s="42">
        <v>20</v>
      </c>
    </row>
    <row r="8" spans="1:9" ht="24" customHeight="1">
      <c r="A8" s="16" t="s">
        <v>89</v>
      </c>
      <c r="B8" s="16" t="s">
        <v>89</v>
      </c>
      <c r="C8" s="10" t="s">
        <v>90</v>
      </c>
      <c r="D8" s="65">
        <v>46232</v>
      </c>
      <c r="E8" s="64" t="s">
        <v>67</v>
      </c>
      <c r="F8" s="64" t="s">
        <v>84</v>
      </c>
      <c r="G8" s="64" t="s">
        <v>29</v>
      </c>
      <c r="H8" s="67">
        <v>0.83333333333333337</v>
      </c>
      <c r="I8" s="66">
        <v>20</v>
      </c>
    </row>
  </sheetData>
  <mergeCells count="3">
    <mergeCell ref="A1:I1"/>
    <mergeCell ref="A2:I2"/>
    <mergeCell ref="A3:I3"/>
  </mergeCells>
  <conditionalFormatting sqref="G5:G199">
    <cfRule type="containsText" dxfId="0" priority="1" operator="containsText" text="upcoming"/>
  </conditionalFormatting>
  <dataValidations count="2">
    <dataValidation type="list" sqref="G5:G199" xr:uid="{00000000-0002-0000-0300-000000000000}">
      <formula1>"completed,upcoming"</formula1>
    </dataValidation>
    <dataValidation type="whole" sqref="I5:I199" xr:uid="{00000000-0002-0000-0300-000001000000}">
      <formula1>1</formula1>
      <formula2>1000000</formula2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8"/>
  <sheetViews>
    <sheetView showGridLines="0" tabSelected="1" topLeftCell="A17" workbookViewId="0">
      <selection activeCell="D36" sqref="D36"/>
    </sheetView>
  </sheetViews>
  <sheetFormatPr baseColWidth="10" defaultColWidth="8.83203125" defaultRowHeight="21" customHeight="1"/>
  <cols>
    <col min="1" max="1" width="43" style="4" customWidth="1"/>
    <col min="2" max="2" width="22.5" style="4" customWidth="1"/>
    <col min="3" max="3" width="21.1640625" style="17" customWidth="1"/>
    <col min="4" max="4" width="20.33203125" style="17" customWidth="1"/>
    <col min="5" max="16384" width="8.83203125" style="4"/>
  </cols>
  <sheetData>
    <row r="1" spans="1:4" ht="21" customHeight="1">
      <c r="A1" s="45" t="s">
        <v>44</v>
      </c>
      <c r="B1" s="45"/>
      <c r="C1" s="45"/>
      <c r="D1" s="45"/>
    </row>
    <row r="2" spans="1:4" ht="21" customHeight="1">
      <c r="A2" s="46" t="s">
        <v>45</v>
      </c>
      <c r="B2" s="46"/>
      <c r="C2" s="46"/>
      <c r="D2" s="46"/>
    </row>
    <row r="3" spans="1:4" ht="21" customHeight="1">
      <c r="A3" s="47" t="s">
        <v>19</v>
      </c>
      <c r="B3" s="47"/>
      <c r="C3" s="47"/>
      <c r="D3" s="47"/>
    </row>
    <row r="4" spans="1:4" ht="21" customHeight="1">
      <c r="A4" s="5" t="s">
        <v>43</v>
      </c>
      <c r="B4" s="6" t="s">
        <v>33</v>
      </c>
      <c r="C4" s="7" t="s">
        <v>46</v>
      </c>
      <c r="D4" s="8" t="s">
        <v>47</v>
      </c>
    </row>
    <row r="5" spans="1:4" ht="21" customHeight="1">
      <c r="A5" s="9" t="s">
        <v>48</v>
      </c>
      <c r="B5" s="10" t="s">
        <v>67</v>
      </c>
      <c r="C5" s="11">
        <v>40</v>
      </c>
      <c r="D5" s="12">
        <v>65</v>
      </c>
    </row>
    <row r="6" spans="1:4" ht="21" customHeight="1">
      <c r="A6" s="9" t="s">
        <v>48</v>
      </c>
      <c r="B6" s="13" t="s">
        <v>58</v>
      </c>
      <c r="C6" s="14">
        <v>40</v>
      </c>
      <c r="D6" s="15">
        <v>41.25</v>
      </c>
    </row>
    <row r="7" spans="1:4" ht="21" customHeight="1">
      <c r="A7" s="9" t="s">
        <v>48</v>
      </c>
      <c r="B7" s="13" t="s">
        <v>59</v>
      </c>
      <c r="C7" s="14">
        <v>20</v>
      </c>
      <c r="D7" s="15">
        <v>42.75</v>
      </c>
    </row>
    <row r="8" spans="1:4" ht="21" customHeight="1">
      <c r="A8" s="9" t="s">
        <v>48</v>
      </c>
      <c r="B8" s="13" t="s">
        <v>60</v>
      </c>
      <c r="C8" s="14">
        <v>40</v>
      </c>
      <c r="D8" s="15">
        <v>48.55</v>
      </c>
    </row>
    <row r="9" spans="1:4" ht="21" customHeight="1">
      <c r="A9" s="9" t="s">
        <v>48</v>
      </c>
      <c r="B9" s="13" t="s">
        <v>57</v>
      </c>
      <c r="C9" s="14">
        <v>60</v>
      </c>
      <c r="D9" s="15">
        <v>23.25</v>
      </c>
    </row>
    <row r="10" spans="1:4" ht="21" customHeight="1">
      <c r="A10" s="9" t="s">
        <v>48</v>
      </c>
      <c r="B10" s="13" t="s">
        <v>61</v>
      </c>
      <c r="C10" s="14">
        <v>60</v>
      </c>
      <c r="D10" s="15">
        <v>23.3</v>
      </c>
    </row>
    <row r="11" spans="1:4" ht="21" customHeight="1">
      <c r="A11" s="16" t="s">
        <v>48</v>
      </c>
      <c r="B11" s="4" t="s">
        <v>56</v>
      </c>
      <c r="C11" s="17">
        <v>20</v>
      </c>
      <c r="D11" s="17">
        <v>11.7</v>
      </c>
    </row>
    <row r="12" spans="1:4" ht="21" customHeight="1">
      <c r="A12" s="16" t="s">
        <v>48</v>
      </c>
      <c r="B12" s="4" t="s">
        <v>62</v>
      </c>
      <c r="C12" s="17">
        <v>20</v>
      </c>
      <c r="D12" s="17">
        <v>33.5</v>
      </c>
    </row>
    <row r="13" spans="1:4" ht="21" customHeight="1">
      <c r="A13" s="16" t="s">
        <v>48</v>
      </c>
      <c r="B13" s="4" t="s">
        <v>63</v>
      </c>
      <c r="C13" s="17">
        <v>20</v>
      </c>
      <c r="D13" s="17">
        <v>30.05</v>
      </c>
    </row>
    <row r="14" spans="1:4" ht="21" customHeight="1">
      <c r="A14" s="16" t="s">
        <v>83</v>
      </c>
      <c r="B14" s="4" t="s">
        <v>56</v>
      </c>
      <c r="C14" s="17">
        <v>20</v>
      </c>
      <c r="D14" s="17">
        <v>22.5</v>
      </c>
    </row>
    <row r="15" spans="1:4" ht="21" customHeight="1">
      <c r="A15" s="16" t="s">
        <v>83</v>
      </c>
      <c r="B15" s="4" t="s">
        <v>58</v>
      </c>
      <c r="C15" s="17">
        <v>100</v>
      </c>
      <c r="D15" s="17">
        <v>40.6</v>
      </c>
    </row>
    <row r="16" spans="1:4" ht="21" customHeight="1">
      <c r="A16" s="16" t="s">
        <v>83</v>
      </c>
      <c r="B16" s="4" t="s">
        <v>85</v>
      </c>
      <c r="C16" s="17">
        <v>50</v>
      </c>
      <c r="D16" s="17">
        <v>0</v>
      </c>
    </row>
    <row r="17" spans="1:4" ht="21" customHeight="1">
      <c r="A17" s="16" t="s">
        <v>83</v>
      </c>
      <c r="B17" s="4" t="s">
        <v>67</v>
      </c>
      <c r="C17" s="17">
        <v>40</v>
      </c>
      <c r="D17" s="17">
        <v>53</v>
      </c>
    </row>
    <row r="18" spans="1:4" ht="21" customHeight="1">
      <c r="A18" s="16" t="s">
        <v>83</v>
      </c>
      <c r="B18" s="4" t="s">
        <v>61</v>
      </c>
      <c r="C18" s="17">
        <v>20</v>
      </c>
      <c r="D18" s="17">
        <v>143.9</v>
      </c>
    </row>
    <row r="19" spans="1:4" ht="21" customHeight="1">
      <c r="A19" s="16" t="s">
        <v>83</v>
      </c>
      <c r="B19" s="4" t="s">
        <v>57</v>
      </c>
      <c r="C19" s="17">
        <v>20</v>
      </c>
      <c r="D19" s="17">
        <v>31.3</v>
      </c>
    </row>
    <row r="20" spans="1:4" ht="21" customHeight="1">
      <c r="A20" s="16" t="s">
        <v>83</v>
      </c>
      <c r="B20" s="4" t="s">
        <v>59</v>
      </c>
      <c r="C20" s="17">
        <v>60</v>
      </c>
      <c r="D20" s="17">
        <v>0</v>
      </c>
    </row>
    <row r="21" spans="1:4" ht="21" customHeight="1">
      <c r="A21" s="16" t="s">
        <v>83</v>
      </c>
      <c r="B21" s="4" t="s">
        <v>60</v>
      </c>
      <c r="C21" s="17">
        <v>120</v>
      </c>
      <c r="D21" s="17">
        <v>148.9</v>
      </c>
    </row>
    <row r="22" spans="1:4" ht="21" customHeight="1">
      <c r="A22" s="16" t="s">
        <v>86</v>
      </c>
      <c r="B22" s="4" t="s">
        <v>67</v>
      </c>
      <c r="C22" s="17">
        <v>40</v>
      </c>
      <c r="D22" s="17">
        <v>73.75</v>
      </c>
    </row>
    <row r="23" spans="1:4" ht="21" customHeight="1">
      <c r="A23" s="16" t="s">
        <v>86</v>
      </c>
      <c r="B23" s="4" t="s">
        <v>61</v>
      </c>
      <c r="C23" s="17">
        <v>60</v>
      </c>
      <c r="D23" s="17">
        <v>19</v>
      </c>
    </row>
    <row r="24" spans="1:4" ht="21" customHeight="1">
      <c r="A24" s="16" t="s">
        <v>86</v>
      </c>
      <c r="B24" s="4" t="s">
        <v>57</v>
      </c>
      <c r="C24" s="17">
        <v>20</v>
      </c>
      <c r="D24" s="17">
        <v>74.5</v>
      </c>
    </row>
    <row r="25" spans="1:4" ht="21" customHeight="1">
      <c r="A25" s="16" t="s">
        <v>86</v>
      </c>
      <c r="B25" s="4" t="s">
        <v>58</v>
      </c>
      <c r="C25" s="17">
        <v>100</v>
      </c>
      <c r="D25" s="17">
        <v>15.75</v>
      </c>
    </row>
    <row r="26" spans="1:4" ht="21" customHeight="1">
      <c r="A26" s="16" t="s">
        <v>86</v>
      </c>
      <c r="B26" s="4" t="s">
        <v>62</v>
      </c>
      <c r="C26" s="17">
        <v>40</v>
      </c>
      <c r="D26" s="17">
        <v>23.25</v>
      </c>
    </row>
    <row r="27" spans="1:4" ht="21" customHeight="1">
      <c r="A27" s="16" t="s">
        <v>86</v>
      </c>
      <c r="B27" s="4" t="s">
        <v>56</v>
      </c>
      <c r="C27" s="17">
        <v>20</v>
      </c>
      <c r="D27" s="17">
        <v>21.75</v>
      </c>
    </row>
    <row r="28" spans="1:4" ht="21" customHeight="1">
      <c r="A28" s="16" t="s">
        <v>86</v>
      </c>
      <c r="B28" s="4" t="s">
        <v>63</v>
      </c>
      <c r="C28" s="17">
        <v>20</v>
      </c>
      <c r="D28" s="17">
        <v>30.25</v>
      </c>
    </row>
    <row r="29" spans="1:4" ht="21" customHeight="1">
      <c r="A29" s="16" t="s">
        <v>86</v>
      </c>
      <c r="B29" s="4" t="s">
        <v>59</v>
      </c>
      <c r="C29" s="17">
        <v>20</v>
      </c>
      <c r="D29" s="17">
        <v>34.25</v>
      </c>
    </row>
    <row r="30" spans="1:4" ht="21" customHeight="1">
      <c r="A30" s="16" t="s">
        <v>86</v>
      </c>
      <c r="B30" s="4" t="s">
        <v>60</v>
      </c>
      <c r="C30" s="17">
        <v>20</v>
      </c>
      <c r="D30" s="17">
        <v>47.5</v>
      </c>
    </row>
    <row r="31" spans="1:4" ht="21" customHeight="1">
      <c r="A31" s="16" t="s">
        <v>89</v>
      </c>
      <c r="B31" s="4" t="s">
        <v>67</v>
      </c>
      <c r="C31" s="17">
        <v>40</v>
      </c>
      <c r="D31" s="17">
        <v>20</v>
      </c>
    </row>
    <row r="32" spans="1:4" ht="21" customHeight="1">
      <c r="A32" s="16" t="s">
        <v>89</v>
      </c>
      <c r="B32" s="4" t="s">
        <v>58</v>
      </c>
      <c r="C32" s="17">
        <v>30</v>
      </c>
      <c r="D32" s="17">
        <v>33</v>
      </c>
    </row>
    <row r="33" spans="1:4" ht="21" customHeight="1">
      <c r="A33" s="16" t="s">
        <v>89</v>
      </c>
      <c r="B33" s="4" t="s">
        <v>59</v>
      </c>
      <c r="C33" s="17">
        <v>60</v>
      </c>
      <c r="D33" s="17">
        <v>47.75</v>
      </c>
    </row>
    <row r="34" spans="1:4" ht="21" customHeight="1">
      <c r="A34" s="16" t="s">
        <v>89</v>
      </c>
      <c r="B34" s="4" t="s">
        <v>60</v>
      </c>
      <c r="C34" s="17">
        <v>60</v>
      </c>
      <c r="D34" s="17">
        <v>45</v>
      </c>
    </row>
    <row r="35" spans="1:4" ht="21" customHeight="1">
      <c r="A35" s="16" t="s">
        <v>89</v>
      </c>
      <c r="B35" s="4" t="s">
        <v>56</v>
      </c>
      <c r="C35" s="17">
        <v>20</v>
      </c>
      <c r="D35" s="17">
        <v>24.25</v>
      </c>
    </row>
    <row r="36" spans="1:4" ht="21" customHeight="1">
      <c r="A36" s="16" t="s">
        <v>89</v>
      </c>
      <c r="B36" s="4" t="s">
        <v>57</v>
      </c>
      <c r="C36" s="17">
        <v>20</v>
      </c>
      <c r="D36" s="17">
        <v>48.25</v>
      </c>
    </row>
    <row r="37" spans="1:4" ht="21" customHeight="1">
      <c r="A37" s="16" t="s">
        <v>89</v>
      </c>
      <c r="B37" s="4" t="s">
        <v>61</v>
      </c>
      <c r="C37" s="17">
        <v>60</v>
      </c>
      <c r="D37" s="17">
        <v>18.5</v>
      </c>
    </row>
    <row r="38" spans="1:4" ht="21" customHeight="1">
      <c r="A38" s="16" t="s">
        <v>89</v>
      </c>
      <c r="B38" s="4" t="s">
        <v>63</v>
      </c>
      <c r="C38" s="17">
        <v>20</v>
      </c>
      <c r="D38" s="17">
        <v>73.25</v>
      </c>
    </row>
  </sheetData>
  <mergeCells count="3">
    <mergeCell ref="A1:D1"/>
    <mergeCell ref="A2:D2"/>
    <mergeCell ref="A3:D3"/>
  </mergeCells>
  <dataValidations count="2">
    <dataValidation type="whole" sqref="C5:C459" xr:uid="{00000000-0002-0000-0400-000000000000}">
      <formula1>1</formula1>
      <formula2>1000000</formula2>
    </dataValidation>
    <dataValidation type="whole" sqref="D5:D459" xr:uid="{00000000-0002-0000-0400-000001000000}">
      <formula1>0</formula1>
      <formula2>1000000</formula2>
    </dataValidation>
  </dataValidations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Tournaments</vt:lpstr>
      <vt:lpstr>Tournament Results</vt:lpstr>
      <vt:lpstr>Cash Games</vt:lpstr>
      <vt:lpstr>Cash Game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Oliver</cp:lastModifiedBy>
  <dcterms:modified xsi:type="dcterms:W3CDTF">2026-07-30T03:18:04Z</dcterms:modified>
</cp:coreProperties>
</file>