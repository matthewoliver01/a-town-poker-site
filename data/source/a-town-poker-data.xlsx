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matthewoliver/Documents/Coding/ATownPokerSite/data/source/"/>
    </mc:Choice>
  </mc:AlternateContent>
  <xr:revisionPtr revIDLastSave="0" documentId="13_ncr:1_{9AA5A806-16BF-6D4B-A651-E5EF639B08DC}" xr6:coauthVersionLast="47" xr6:coauthVersionMax="47" xr10:uidLastSave="{00000000-0000-0000-0000-000000000000}"/>
  <bookViews>
    <workbookView xWindow="0" yWindow="660" windowWidth="30240" windowHeight="17740" activeTab="4" xr2:uid="{00000000-000D-0000-FFFF-FFFF00000000}"/>
  </bookViews>
  <sheets>
    <sheet name="Start Here" sheetId="1" r:id="rId1"/>
    <sheet name="Tournaments" sheetId="2" r:id="rId2"/>
    <sheet name="Tournament Results" sheetId="3" r:id="rId3"/>
    <sheet name="Cash Games" sheetId="4" r:id="rId4"/>
    <sheet name="Cash Game Results" sheetId="5" r:id="rId5"/>
    <sheet name="Event Photos" sheetId="6" r:id="rId6"/>
    <sheet name="Announcements" sheetId="7" r:id="rId7"/>
    <sheet name="Blind Schedule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 l="1"/>
  <c r="H10" i="1"/>
  <c r="H9" i="1"/>
  <c r="H8" i="1"/>
  <c r="H7" i="1"/>
  <c r="H6" i="1"/>
</calcChain>
</file>

<file path=xl/sharedStrings.xml><?xml version="1.0" encoding="utf-8"?>
<sst xmlns="http://schemas.openxmlformats.org/spreadsheetml/2006/main" count="953" uniqueCount="177">
  <si>
    <t>A-TOWN POKER</t>
  </si>
  <si>
    <t>Edit this workbook, save it, and the site build will regenerate the site data automatically.</t>
  </si>
  <si>
    <t>HOW TO UPDATE THE SITE</t>
  </si>
  <si>
    <t>WORKBOOK SNAPSHOT</t>
  </si>
  <si>
    <t>Add or edit an event on the Tournaments or Cash Games sheet.</t>
  </si>
  <si>
    <t>Tournaments</t>
  </si>
  <si>
    <t>Add one row per player on the matching Results sheet; optional tournament elimination details may stay blank.</t>
  </si>
  <si>
    <t>Add one row per player on the matching Results sheet, using the exact event ID.</t>
  </si>
  <si>
    <t>Upcoming tournaments</t>
  </si>
  <si>
    <t>Write optional event notes in the Notes column.</t>
  </si>
  <si>
    <t>Cash games</t>
  </si>
  <si>
    <t>Add photos on Event Photos; place local image files in public/photos.</t>
  </si>
  <si>
    <t>Event photos</t>
  </si>
  <si>
    <t>Add general or event-linked posts on Announcements.</t>
  </si>
  <si>
    <t>Announcements</t>
  </si>
  <si>
    <t>Save the workbook. The next site build validates it and refreshes the JSON files.</t>
  </si>
  <si>
    <t>Tracked player rows</t>
  </si>
  <si>
    <t>IMPORTANT RULES</t>
  </si>
  <si>
    <t>• Do not rename worksheets or column headers; the converter uses those names.</t>
  </si>
  <si>
    <t>• IDs and slugs must be unique. Follow the existing lowercase, hyphenated examples.</t>
  </si>
  <si>
    <t>• For tournament ties, enter T-1, T-2, and so on in the Placement column.</t>
  </si>
  <si>
    <t>• Completed events must balance: tournament payouts equal buy-ins, and cash-out totals equal buy-ins.</t>
  </si>
  <si>
    <t>• Use completed or upcoming exactly. Upcoming events require a Start Time.</t>
  </si>
  <si>
    <t>• Photo paths beginning with / must match a file under public; remote https:// image URLs are also supported.</t>
  </si>
  <si>
    <t>TOURNAMENTS</t>
  </si>
  <si>
    <t>One row per tournament. Start Time is required only when Status is upcoming; Notes are optional.</t>
  </si>
  <si>
    <t>Add new rows directly below the table. Notes are optional; keep the sheet name and column headers unchanged.</t>
  </si>
  <si>
    <t>Tournament ID</t>
  </si>
  <si>
    <t>Slug</t>
  </si>
  <si>
    <t>Title</t>
  </si>
  <si>
    <t>Date</t>
  </si>
  <si>
    <t>Host</t>
  </si>
  <si>
    <t>Status</t>
  </si>
  <si>
    <t>Start Time</t>
  </si>
  <si>
    <t>Initial Buy-In</t>
  </si>
  <si>
    <t>Notes</t>
  </si>
  <si>
    <t>tournament-2026-03-28</t>
  </si>
  <si>
    <t>March 2026 Tournament</t>
  </si>
  <si>
    <t>Nate F.</t>
  </si>
  <si>
    <t>completed</t>
  </si>
  <si>
    <t>tournament-2025-09-13</t>
  </si>
  <si>
    <t>September 2025 Tournament</t>
  </si>
  <si>
    <t>tournament-2026-08-01</t>
  </si>
  <si>
    <t>August 2026 Tournament</t>
  </si>
  <si>
    <t>tournament-2026-10-10</t>
  </si>
  <si>
    <t>October 2026 High-Stakes</t>
  </si>
  <si>
    <t>Matt O.</t>
  </si>
  <si>
    <t>TOURNAMENT RESULTS</t>
  </si>
  <si>
    <t>One row per player. Elimination details are optional; upcoming registrations leave placement and payout columns blank.</t>
  </si>
  <si>
    <t>Add new rows directly below the table. Optional elimination fields may stay blank; keep the sheet name and column headers unchanged.</t>
  </si>
  <si>
    <t>Player</t>
  </si>
  <si>
    <t>Total Buy-In</t>
  </si>
  <si>
    <t>Placement</t>
  </si>
  <si>
    <t>Placement Payout</t>
  </si>
  <si>
    <t>Bonus Payout</t>
  </si>
  <si>
    <t>Elimination Level</t>
  </si>
  <si>
    <t>Eliminated At</t>
  </si>
  <si>
    <t>Eliminated By</t>
  </si>
  <si>
    <t>Max A.</t>
  </si>
  <si>
    <t>T-1</t>
  </si>
  <si>
    <t>Joey E.</t>
  </si>
  <si>
    <t>Kyser E.</t>
  </si>
  <si>
    <t>Sofia M.</t>
  </si>
  <si>
    <t>Tony P.</t>
  </si>
  <si>
    <t>Noah S.</t>
  </si>
  <si>
    <t>Chase C.</t>
  </si>
  <si>
    <t>Liam M.</t>
  </si>
  <si>
    <t>Justin A.</t>
  </si>
  <si>
    <t>Nathan C.</t>
  </si>
  <si>
    <t>Luke K.</t>
  </si>
  <si>
    <t>Adam B.</t>
  </si>
  <si>
    <t>Sammy A.</t>
  </si>
  <si>
    <t>David P.</t>
  </si>
  <si>
    <t>Ben H.</t>
  </si>
  <si>
    <t>1</t>
  </si>
  <si>
    <t>Brian T.</t>
  </si>
  <si>
    <t>2</t>
  </si>
  <si>
    <t>David B.</t>
  </si>
  <si>
    <t>Ethan N.</t>
  </si>
  <si>
    <t>Dimple P.</t>
  </si>
  <si>
    <t>CASH GAMES</t>
  </si>
  <si>
    <t>One row per cash game. Start Time is required only when Status is upcoming; Notes are optional.</t>
  </si>
  <si>
    <t>Cash Game ID</t>
  </si>
  <si>
    <t>cash-game-2026-07-15</t>
  </si>
  <si>
    <t>Wednesday 7/15/26</t>
  </si>
  <si>
    <t>8 PM</t>
  </si>
  <si>
    <t>cash-game-2026-07-18</t>
  </si>
  <si>
    <t>Saturday 7/18/26</t>
  </si>
  <si>
    <t>cash-game-2026-07-22</t>
  </si>
  <si>
    <t>Wednesday 7/22/26</t>
  </si>
  <si>
    <t>cash-game-2026-07-29</t>
  </si>
  <si>
    <t>Wednesday 7/29/26</t>
  </si>
  <si>
    <t>cash-game-2026-08-05</t>
  </si>
  <si>
    <t>Wednesday 8/5/26</t>
  </si>
  <si>
    <t>cash-game-2026-08-08</t>
  </si>
  <si>
    <t>Saturday 8/8/26</t>
  </si>
  <si>
    <t>cash-game-2026-08-12</t>
  </si>
  <si>
    <t>Wednesday 8/12/26</t>
  </si>
  <si>
    <t>cash-game-2026-08-15</t>
  </si>
  <si>
    <t>Saturday 8/15/26</t>
  </si>
  <si>
    <t>cash-game-2026-08-19</t>
  </si>
  <si>
    <t>Wednesday 8/19/26</t>
  </si>
  <si>
    <t>cash-game-2026-08-22</t>
  </si>
  <si>
    <t>Saturday 8/22/26</t>
  </si>
  <si>
    <t>cash-game-2026-08-26</t>
  </si>
  <si>
    <t>Wednesday 8/26/26</t>
  </si>
  <si>
    <t>cash-game-2026-08-29</t>
  </si>
  <si>
    <t>Saturday 8/29/26</t>
  </si>
  <si>
    <t>CASH GAME RESULTS</t>
  </si>
  <si>
    <t>One row per player. Upcoming registrations leave Amount At End blank.</t>
  </si>
  <si>
    <t>Add new rows directly below the table. Keep the sheet name and column headers unchanged.</t>
  </si>
  <si>
    <t>Amount Buy-In</t>
  </si>
  <si>
    <t>Amount At End</t>
  </si>
  <si>
    <t>Max M.</t>
  </si>
  <si>
    <t>Ally K.</t>
  </si>
  <si>
    <t>Calvin A.</t>
  </si>
  <si>
    <t>EVENT PHOTOS</t>
  </si>
  <si>
    <t>Add one row per photo. Use the exact Tournament ID or Cash Game ID from the event sheet.</t>
  </si>
  <si>
    <t>Image Path example: /photos/game-night.jpg. Put local images in public/photos; Show on Home and Sort Order are optional.</t>
  </si>
  <si>
    <t>Event ID</t>
  </si>
  <si>
    <t>Image Path</t>
  </si>
  <si>
    <t>Caption</t>
  </si>
  <si>
    <t>Show on Home</t>
  </si>
  <si>
    <t>Sort Order</t>
  </si>
  <si>
    <t>/photos/september2025tourney.jpg</t>
  </si>
  <si>
    <t>September 2025 tournament winner: Kyser E., Joey E., Max A., and Matt O.</t>
  </si>
  <si>
    <t>Yes</t>
  </si>
  <si>
    <t>/photos/march2026tourney.jpg</t>
  </si>
  <si>
    <t>March 2026 tourament winner: Ben H.</t>
  </si>
  <si>
    <t>/photos/august2026tourney.jpg</t>
  </si>
  <si>
    <t>August 2026 tournament winner: Nathan C.</t>
  </si>
  <si>
    <t>ANNOUNCEMENTS</t>
  </si>
  <si>
    <t>Add general homepage posts or link a post to one tournament or cash game.</t>
  </si>
  <si>
    <t>Leave Event ID blank for a general post. Expires and Pinned are optional; expired posts stay out of current homepage announcements.</t>
  </si>
  <si>
    <t>Announcement ID</t>
  </si>
  <si>
    <t>Body</t>
  </si>
  <si>
    <t>Expires</t>
  </si>
  <si>
    <t>Pinned</t>
  </si>
  <si>
    <t>october-tourney-announcement</t>
  </si>
  <si>
    <t>I will be hosting a $50 buy-in tournament on October 10th at 6:30 PM. Please RSVP via Partiful. If you'd like an invite, shoot me a message.</t>
  </si>
  <si>
    <t>september-tourney-note</t>
  </si>
  <si>
    <t>Note</t>
  </si>
  <si>
    <t>Buy-in amounts and placements are approximate. If you have a more accurate recollection, let me know!</t>
  </si>
  <si>
    <t>march-tourney-note</t>
  </si>
  <si>
    <t>BLIND SCHEDULES</t>
  </si>
  <si>
    <t>Add one row per level, using the exact Tournament ID from the Tournaments sheet.</t>
  </si>
  <si>
    <t>Duration can be minutes or short text. Leave both blind amounts blank for a break; decimal levels such as 4.5 are allowed.</t>
  </si>
  <si>
    <t>Level</t>
  </si>
  <si>
    <t>Duration</t>
  </si>
  <si>
    <t>Small Blind</t>
  </si>
  <si>
    <t>Big Blind</t>
  </si>
  <si>
    <t>Break</t>
  </si>
  <si>
    <t>Save the Date: October 10th High-Stakes Tournament</t>
  </si>
  <si>
    <t>cash-game-2026-09-02</t>
  </si>
  <si>
    <t>Wednesday 9/2/26</t>
  </si>
  <si>
    <t>Reid H.</t>
  </si>
  <si>
    <t>cash-game-2026-09-10</t>
  </si>
  <si>
    <t>Thursday 9/10/26</t>
  </si>
  <si>
    <t>cash-game-2026-09-12</t>
  </si>
  <si>
    <t>cash-game-2026-09-16</t>
  </si>
  <si>
    <t>Saturday 9/12/26</t>
  </si>
  <si>
    <t>Wednesday 9/16/26</t>
  </si>
  <si>
    <t>cash-game-2026-09-19</t>
  </si>
  <si>
    <t>Saturday 9/19/26</t>
  </si>
  <si>
    <t>cash-game-2026-09-23</t>
  </si>
  <si>
    <t>Wednesday 9/23/26</t>
  </si>
  <si>
    <t>Wyatt T.</t>
  </si>
  <si>
    <t>cash-game-2026-09-26</t>
  </si>
  <si>
    <t>Saturday 9/26/26</t>
  </si>
  <si>
    <t>cash-game-2026-09-30</t>
  </si>
  <si>
    <t>Wednesday 9/30/26</t>
  </si>
  <si>
    <t>cash-game-2026-10-03</t>
  </si>
  <si>
    <t>Saturday 10/3/26</t>
  </si>
  <si>
    <t>October 2026 tournament winner: Adam B.</t>
  </si>
  <si>
    <t>/photos/october2026tourney.HEIC</t>
  </si>
  <si>
    <t>cash-game-2026-10-07</t>
  </si>
  <si>
    <t>Wednesday 10/7/26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</si>
</sst>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&quot;$&quot;#,##0.00"/>
    <numFmt numFmtId="165" formatCode="m/d/yy;@"/>
    <numFmt numFmtId="166" formatCode="\$#,##0.00"/>
  </numFmts>
  <fonts count="16">
    <font>
      <sz val="11"/>
      <name val="Carlito"/>
    </font>
    <font>
      <b/>
      <sz val="24"/>
      <color rgb="FFFFFFFF"/>
      <name val="Aptos Display"/>
    </font>
    <font>
      <sz val="11"/>
      <color rgb="FF17231D"/>
      <name val="Aptos"/>
    </font>
    <font>
      <b/>
      <sz val="10"/>
      <color rgb="FFFFFFFF"/>
      <name val="Aptos"/>
    </font>
    <font>
      <b/>
      <sz val="11"/>
      <color rgb="FF17231D"/>
      <name val="Aptos"/>
    </font>
    <font>
      <sz val="10"/>
      <color rgb="FF17231D"/>
      <name val="Aptos"/>
    </font>
    <font>
      <sz val="10"/>
      <color rgb="FF66736D"/>
      <name val="Aptos"/>
    </font>
    <font>
      <b/>
      <sz val="12"/>
      <color rgb="FF173F32"/>
      <name val="Aptos"/>
    </font>
    <font>
      <b/>
      <sz val="12"/>
      <color rgb="FFFFFFFF"/>
      <name val="Aptos"/>
    </font>
    <font>
      <sz val="12"/>
      <name val="Aptos"/>
    </font>
    <font>
      <i/>
      <sz val="12"/>
      <color rgb="FF17231D"/>
      <name val="Aptos"/>
    </font>
    <font>
      <sz val="12"/>
      <color rgb="FF66736D"/>
      <name val="Aptos"/>
    </font>
    <font>
      <sz val="12"/>
      <color rgb="FF17231D"/>
      <name val="Aptos"/>
    </font>
    <font>
      <b/>
      <sz val="16"/>
      <color rgb="FFFFFFFF"/>
      <name val="Carlito"/>
    </font>
    <font>
      <i/>
      <sz val="11"/>
      <color rgb="FF243C34"/>
      <name val="Carlito"/>
    </font>
    <font>
      <sz val="10"/>
      <color rgb="FF66766F"/>
      <name val="Carlito"/>
    </font>
  </fonts>
  <fills count="18">
    <fill>
      <patternFill patternType="none"/>
    </fill>
    <fill>
      <patternFill patternType="gray125"/>
    </fill>
    <fill>
      <patternFill patternType="solid">
        <fgColor rgb="FF173F32"/>
      </patternFill>
    </fill>
    <fill>
      <patternFill patternType="solid">
        <fgColor rgb="FFDDECE4"/>
      </patternFill>
    </fill>
    <fill>
      <patternFill patternType="solid">
        <fgColor rgb="FF2E6A52"/>
      </patternFill>
    </fill>
    <fill>
      <patternFill patternType="solid">
        <fgColor rgb="FFF2F7F4"/>
      </patternFill>
    </fill>
    <fill>
      <patternFill patternType="solid">
        <fgColor rgb="FF173F32"/>
      </patternFill>
    </fill>
    <fill>
      <patternFill patternType="solid">
        <fgColor rgb="FFDDECE4"/>
      </patternFill>
    </fill>
    <fill>
      <patternFill patternType="solid">
        <fgColor rgb="FFF2F7F4"/>
      </patternFill>
    </fill>
    <fill>
      <patternFill patternType="solid">
        <fgColor rgb="FF2E6A52"/>
      </patternFill>
    </fill>
    <fill>
      <patternFill patternType="solid">
        <fgColor rgb="FFC4A45D"/>
      </patternFill>
    </fill>
    <fill>
      <patternFill patternType="solid">
        <fgColor rgb="FFFFFFFF"/>
      </patternFill>
    </fill>
    <fill>
      <patternFill patternType="solid">
        <fgColor rgb="FF2E6A52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143F35"/>
      </patternFill>
    </fill>
    <fill>
      <patternFill patternType="solid">
        <fgColor rgb="FFDEEBE4"/>
      </patternFill>
    </fill>
    <fill>
      <patternFill patternType="solid">
        <fgColor rgb="FFF2F5F3"/>
      </patternFill>
    </fill>
  </fills>
  <borders count="15">
    <border>
      <left/>
      <right/>
      <top/>
      <bottom/>
      <diagonal/>
    </border>
    <border>
      <left style="thin">
        <color rgb="FF173F32"/>
      </left>
      <right/>
      <top style="thin">
        <color rgb="FF173F32"/>
      </top>
      <bottom style="thin">
        <color rgb="FF173F32"/>
      </bottom>
      <diagonal/>
    </border>
    <border>
      <left/>
      <right/>
      <top style="thin">
        <color rgb="FF173F32"/>
      </top>
      <bottom style="thin">
        <color rgb="FF173F32"/>
      </bottom>
      <diagonal/>
    </border>
    <border>
      <left/>
      <right style="thin">
        <color rgb="FF173F32"/>
      </right>
      <top style="thin">
        <color rgb="FF173F32"/>
      </top>
      <bottom style="thin">
        <color rgb="FF173F32"/>
      </bottom>
      <diagonal/>
    </border>
    <border>
      <left/>
      <right style="thin">
        <color rgb="FFE3EAE6"/>
      </right>
      <top/>
      <bottom style="thin">
        <color rgb="FFC9D6CF"/>
      </bottom>
      <diagonal/>
    </border>
    <border>
      <left style="thin">
        <color rgb="FFE3EAE6"/>
      </left>
      <right style="thin">
        <color rgb="FFE3EAE6"/>
      </right>
      <top/>
      <bottom style="thin">
        <color rgb="FFC9D6CF"/>
      </bottom>
      <diagonal/>
    </border>
    <border>
      <left style="thin">
        <color rgb="FFE3EAE6"/>
      </left>
      <right/>
      <top/>
      <bottom style="thin">
        <color rgb="FFC9D6CF"/>
      </bottom>
      <diagonal/>
    </border>
    <border>
      <left style="thin">
        <color rgb="FFE3EAE6"/>
      </left>
      <right style="thin">
        <color rgb="FFE3EAE6"/>
      </right>
      <top style="thin">
        <color rgb="FFC9D6CF"/>
      </top>
      <bottom style="thin">
        <color rgb="FFC9D6CF"/>
      </bottom>
      <diagonal/>
    </border>
    <border>
      <left style="thin">
        <color rgb="FFE3EAE6"/>
      </left>
      <right/>
      <top style="thin">
        <color rgb="FFC9D6CF"/>
      </top>
      <bottom style="thin">
        <color rgb="FFC9D6CF"/>
      </bottom>
      <diagonal/>
    </border>
    <border>
      <left/>
      <right style="thin">
        <color rgb="FFE3EAE6"/>
      </right>
      <top/>
      <bottom/>
      <diagonal/>
    </border>
    <border>
      <left style="thin">
        <color rgb="FF173F32"/>
      </left>
      <right style="thin">
        <color rgb="FF173F32"/>
      </right>
      <top style="thin">
        <color rgb="FF173F32"/>
      </top>
      <bottom style="thin">
        <color rgb="FF173F32"/>
      </bottom>
      <diagonal/>
    </border>
    <border>
      <left style="thin">
        <color rgb="FFC9D6CF"/>
      </left>
      <right style="thin">
        <color rgb="FFC9D6CF"/>
      </right>
      <top style="thin">
        <color rgb="FFC9D6CF"/>
      </top>
      <bottom style="thin">
        <color rgb="FFC9D6CF"/>
      </bottom>
      <diagonal/>
    </border>
    <border>
      <left style="thin">
        <color rgb="FFE3EAE6"/>
      </left>
      <right style="thin">
        <color rgb="FFC9D6CF"/>
      </right>
      <top/>
      <bottom style="thin">
        <color rgb="FFC9D6CF"/>
      </bottom>
      <diagonal/>
    </border>
    <border>
      <left style="thin">
        <color rgb="FFE3EAE6"/>
      </left>
      <right style="thin">
        <color rgb="FFC9D6CF"/>
      </right>
      <top style="thin">
        <color rgb="FFC9D6CF"/>
      </top>
      <bottom style="thin">
        <color rgb="FFC9D6CF"/>
      </bottom>
      <diagonal/>
    </border>
    <border>
      <left style="thin">
        <color rgb="FF69C977"/>
      </left>
      <right style="thin">
        <color rgb="FF69C977"/>
      </right>
      <top style="thin">
        <color rgb="FF69C977"/>
      </top>
      <bottom style="thin">
        <color rgb="FF69C977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9" fillId="0" borderId="0" xfId="0" applyFont="1"/>
    <xf numFmtId="0" fontId="8" fillId="4" borderId="1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vertical="center" wrapText="1"/>
    </xf>
    <xf numFmtId="164" fontId="8" fillId="4" borderId="2" xfId="0" applyNumberFormat="1" applyFont="1" applyFill="1" applyBorder="1" applyAlignment="1">
      <alignment horizontal="left" vertical="center" wrapText="1"/>
    </xf>
    <xf numFmtId="164" fontId="8" fillId="4" borderId="3" xfId="0" applyNumberFormat="1" applyFont="1" applyFill="1" applyBorder="1" applyAlignment="1">
      <alignment horizontal="left" vertical="center" wrapText="1"/>
    </xf>
    <xf numFmtId="49" fontId="12" fillId="0" borderId="4" xfId="0" applyNumberFormat="1" applyFont="1" applyBorder="1" applyAlignment="1">
      <alignment vertical="center"/>
    </xf>
    <xf numFmtId="0" fontId="12" fillId="0" borderId="5" xfId="0" applyFont="1" applyBorder="1" applyAlignment="1">
      <alignment vertical="center"/>
    </xf>
    <xf numFmtId="164" fontId="12" fillId="0" borderId="5" xfId="0" applyNumberFormat="1" applyFont="1" applyBorder="1" applyAlignment="1">
      <alignment vertical="center"/>
    </xf>
    <xf numFmtId="164" fontId="12" fillId="0" borderId="6" xfId="0" applyNumberFormat="1" applyFont="1" applyBorder="1" applyAlignment="1">
      <alignment vertical="center"/>
    </xf>
    <xf numFmtId="0" fontId="12" fillId="0" borderId="7" xfId="0" applyFont="1" applyBorder="1" applyAlignment="1">
      <alignment vertical="center"/>
    </xf>
    <xf numFmtId="164" fontId="12" fillId="0" borderId="7" xfId="0" applyNumberFormat="1" applyFont="1" applyBorder="1" applyAlignment="1">
      <alignment vertical="center"/>
    </xf>
    <xf numFmtId="164" fontId="12" fillId="0" borderId="8" xfId="0" applyNumberFormat="1" applyFont="1" applyBorder="1" applyAlignment="1">
      <alignment vertical="center"/>
    </xf>
    <xf numFmtId="49" fontId="12" fillId="0" borderId="9" xfId="0" applyNumberFormat="1" applyFont="1" applyBorder="1" applyAlignment="1">
      <alignment vertical="center"/>
    </xf>
    <xf numFmtId="164" fontId="9" fillId="0" borderId="0" xfId="0" applyNumberFormat="1" applyFont="1"/>
    <xf numFmtId="0" fontId="8" fillId="4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9" fillId="0" borderId="5" xfId="0" applyFont="1" applyBorder="1"/>
    <xf numFmtId="0" fontId="12" fillId="0" borderId="0" xfId="0" applyFont="1" applyAlignment="1">
      <alignment vertical="center"/>
    </xf>
    <xf numFmtId="0" fontId="9" fillId="0" borderId="7" xfId="0" applyFont="1" applyBorder="1"/>
    <xf numFmtId="164" fontId="9" fillId="0" borderId="5" xfId="0" applyNumberFormat="1" applyFont="1" applyBorder="1"/>
    <xf numFmtId="164" fontId="12" fillId="0" borderId="0" xfId="0" applyNumberFormat="1" applyFont="1" applyAlignment="1">
      <alignment vertical="center"/>
    </xf>
    <xf numFmtId="164" fontId="9" fillId="0" borderId="7" xfId="0" applyNumberFormat="1" applyFont="1" applyBorder="1"/>
    <xf numFmtId="0" fontId="9" fillId="0" borderId="5" xfId="0" applyFont="1" applyBorder="1" applyAlignment="1">
      <alignment horizontal="center"/>
    </xf>
    <xf numFmtId="49" fontId="12" fillId="0" borderId="0" xfId="0" applyNumberFormat="1" applyFont="1" applyAlignment="1">
      <alignment horizontal="center" vertical="center"/>
    </xf>
    <xf numFmtId="0" fontId="9" fillId="0" borderId="7" xfId="0" applyFont="1" applyBorder="1" applyAlignment="1">
      <alignment horizontal="center"/>
    </xf>
    <xf numFmtId="165" fontId="12" fillId="0" borderId="5" xfId="0" applyNumberFormat="1" applyFont="1" applyBorder="1" applyAlignment="1">
      <alignment horizontal="center" vertical="center"/>
    </xf>
    <xf numFmtId="165" fontId="8" fillId="4" borderId="2" xfId="0" applyNumberFormat="1" applyFont="1" applyFill="1" applyBorder="1" applyAlignment="1">
      <alignment horizontal="center" vertical="center" wrapText="1"/>
    </xf>
    <xf numFmtId="165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12" fillId="0" borderId="0" xfId="0" applyFont="1"/>
    <xf numFmtId="164" fontId="8" fillId="4" borderId="3" xfId="0" applyNumberFormat="1" applyFont="1" applyFill="1" applyBorder="1" applyAlignment="1">
      <alignment horizontal="center" vertical="center" wrapText="1"/>
    </xf>
    <xf numFmtId="164" fontId="12" fillId="0" borderId="6" xfId="0" applyNumberFormat="1" applyFont="1" applyBorder="1" applyAlignment="1">
      <alignment horizontal="center" vertical="center"/>
    </xf>
    <xf numFmtId="164" fontId="12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center"/>
    </xf>
    <xf numFmtId="165" fontId="12" fillId="0" borderId="0" xfId="0" applyNumberFormat="1" applyFont="1" applyAlignment="1">
      <alignment horizontal="center"/>
    </xf>
    <xf numFmtId="0" fontId="8" fillId="9" borderId="10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1" fontId="0" fillId="0" borderId="0" xfId="0" applyNumberFormat="1"/>
    <xf numFmtId="0" fontId="4" fillId="10" borderId="0" xfId="0" applyFont="1" applyFill="1" applyAlignment="1">
      <alignment horizontal="center" vertical="center"/>
    </xf>
    <xf numFmtId="1" fontId="7" fillId="8" borderId="11" xfId="0" applyNumberFormat="1" applyFont="1" applyFill="1" applyBorder="1" applyAlignment="1">
      <alignment horizontal="right" vertical="center"/>
    </xf>
    <xf numFmtId="1" fontId="7" fillId="11" borderId="11" xfId="0" applyNumberFormat="1" applyFont="1" applyFill="1" applyBorder="1" applyAlignment="1">
      <alignment horizontal="right" vertical="center"/>
    </xf>
    <xf numFmtId="0" fontId="8" fillId="12" borderId="10" xfId="0" applyFont="1" applyFill="1" applyBorder="1" applyAlignment="1">
      <alignment horizontal="left" vertical="center" wrapText="1"/>
    </xf>
    <xf numFmtId="164" fontId="8" fillId="12" borderId="10" xfId="0" applyNumberFormat="1" applyFont="1" applyFill="1" applyBorder="1" applyAlignment="1">
      <alignment horizontal="left" vertical="center" wrapText="1"/>
    </xf>
    <xf numFmtId="164" fontId="12" fillId="13" borderId="5" xfId="0" applyNumberFormat="1" applyFont="1" applyFill="1" applyBorder="1" applyAlignment="1">
      <alignment horizontal="right" vertical="center"/>
    </xf>
    <xf numFmtId="164" fontId="12" fillId="14" borderId="7" xfId="0" applyNumberFormat="1" applyFont="1" applyFill="1" applyBorder="1" applyAlignment="1">
      <alignment horizontal="right" vertical="center"/>
    </xf>
    <xf numFmtId="164" fontId="12" fillId="13" borderId="7" xfId="0" applyNumberFormat="1" applyFont="1" applyFill="1" applyBorder="1" applyAlignment="1">
      <alignment horizontal="right" vertical="center"/>
    </xf>
    <xf numFmtId="18" fontId="12" fillId="13" borderId="5" xfId="0" applyNumberFormat="1" applyFont="1" applyFill="1" applyBorder="1" applyAlignment="1">
      <alignment horizontal="left" vertical="center"/>
    </xf>
    <xf numFmtId="49" fontId="12" fillId="13" borderId="12" xfId="0" applyNumberFormat="1" applyFont="1" applyFill="1" applyBorder="1" applyAlignment="1">
      <alignment horizontal="left" vertical="center"/>
    </xf>
    <xf numFmtId="18" fontId="12" fillId="14" borderId="7" xfId="0" applyNumberFormat="1" applyFont="1" applyFill="1" applyBorder="1" applyAlignment="1">
      <alignment horizontal="left" vertical="center"/>
    </xf>
    <xf numFmtId="49" fontId="12" fillId="14" borderId="13" xfId="0" applyNumberFormat="1" applyFont="1" applyFill="1" applyBorder="1" applyAlignment="1">
      <alignment horizontal="left" vertical="center"/>
    </xf>
    <xf numFmtId="18" fontId="12" fillId="13" borderId="7" xfId="0" applyNumberFormat="1" applyFont="1" applyFill="1" applyBorder="1" applyAlignment="1">
      <alignment horizontal="left" vertical="center"/>
    </xf>
    <xf numFmtId="49" fontId="12" fillId="13" borderId="13" xfId="0" applyNumberFormat="1" applyFont="1" applyFill="1" applyBorder="1" applyAlignment="1">
      <alignment horizontal="left" vertical="center"/>
    </xf>
    <xf numFmtId="0" fontId="9" fillId="0" borderId="0" xfId="0" applyFont="1" applyAlignment="1">
      <alignment wrapText="1"/>
    </xf>
    <xf numFmtId="49" fontId="9" fillId="0" borderId="9" xfId="0" applyNumberFormat="1" applyFont="1" applyBorder="1" applyAlignment="1">
      <alignment vertical="center"/>
    </xf>
    <xf numFmtId="14" fontId="9" fillId="0" borderId="0" xfId="0" applyNumberFormat="1" applyFont="1"/>
    <xf numFmtId="16" fontId="9" fillId="0" borderId="0" xfId="0" applyNumberFormat="1" applyFont="1"/>
    <xf numFmtId="49" fontId="12" fillId="0" borderId="9" xfId="0" applyNumberFormat="1" applyFont="1" applyBorder="1"/>
    <xf numFmtId="166" fontId="12" fillId="0" borderId="5" xfId="0" applyNumberFormat="1" applyFont="1" applyBorder="1" applyAlignment="1">
      <alignment horizontal="center" vertical="center"/>
    </xf>
    <xf numFmtId="166" fontId="0" fillId="0" borderId="0" xfId="0" applyNumberFormat="1"/>
    <xf numFmtId="166" fontId="9" fillId="0" borderId="0" xfId="0" applyNumberFormat="1" applyFont="1"/>
    <xf numFmtId="166" fontId="12" fillId="0" borderId="0" xfId="0" applyNumberFormat="1" applyFont="1"/>
    <xf numFmtId="18" fontId="0" fillId="0" borderId="0" xfId="0" applyNumberFormat="1"/>
    <xf numFmtId="0" fontId="0" fillId="0" borderId="14" xfId="0" applyBorder="1"/>
    <xf numFmtId="166" fontId="0" fillId="0" borderId="14" xfId="0" applyNumberFormat="1" applyBorder="1"/>
    <xf numFmtId="6" fontId="0" fillId="0" borderId="0" xfId="0" applyNumberFormat="1"/>
    <xf numFmtId="18" fontId="9" fillId="0" borderId="0" xfId="0" applyNumberFormat="1" applyFont="1"/>
    <xf numFmtId="1" fontId="12" fillId="13" borderId="5" xfId="0" applyNumberFormat="1" applyFont="1" applyFill="1" applyBorder="1" applyAlignment="1">
      <alignment horizontal="left" vertical="center"/>
    </xf>
    <xf numFmtId="1" fontId="12" fillId="14" borderId="7" xfId="0" applyNumberFormat="1" applyFont="1" applyFill="1" applyBorder="1" applyAlignment="1">
      <alignment horizontal="left" vertical="center"/>
    </xf>
    <xf numFmtId="1" fontId="12" fillId="13" borderId="7" xfId="0" applyNumberFormat="1" applyFont="1" applyFill="1" applyBorder="1" applyAlignment="1">
      <alignment horizontal="left" vertical="center"/>
    </xf>
    <xf numFmtId="1" fontId="9" fillId="0" borderId="0" xfId="0" applyNumberFormat="1" applyFont="1"/>
    <xf numFmtId="0" fontId="8" fillId="6" borderId="0" xfId="0" applyFont="1" applyFill="1" applyAlignment="1">
      <alignment vertical="center"/>
    </xf>
    <xf numFmtId="0" fontId="10" fillId="7" borderId="0" xfId="0" applyFont="1" applyFill="1" applyAlignment="1">
      <alignment vertical="center" wrapText="1"/>
    </xf>
    <xf numFmtId="0" fontId="11" fillId="8" borderId="0" xfId="0" applyFont="1" applyFill="1" applyAlignment="1">
      <alignment vertical="center" wrapText="1"/>
    </xf>
    <xf numFmtId="0" fontId="1" fillId="6" borderId="0" xfId="0" applyFont="1" applyFill="1" applyAlignment="1">
      <alignment vertical="center"/>
    </xf>
    <xf numFmtId="0" fontId="2" fillId="7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0" fontId="5" fillId="8" borderId="11" xfId="0" applyFont="1" applyFill="1" applyBorder="1" applyAlignment="1">
      <alignment vertical="center" wrapText="1"/>
    </xf>
    <xf numFmtId="0" fontId="6" fillId="8" borderId="11" xfId="0" applyFont="1" applyFill="1" applyBorder="1" applyAlignment="1">
      <alignment vertical="center"/>
    </xf>
    <xf numFmtId="0" fontId="5" fillId="11" borderId="11" xfId="0" applyFont="1" applyFill="1" applyBorder="1" applyAlignment="1">
      <alignment vertical="center" wrapText="1"/>
    </xf>
    <xf numFmtId="0" fontId="6" fillId="11" borderId="11" xfId="0" applyFont="1" applyFill="1" applyBorder="1" applyAlignment="1">
      <alignment vertical="center"/>
    </xf>
    <xf numFmtId="0" fontId="3" fillId="9" borderId="0" xfId="0" applyFont="1" applyFill="1"/>
    <xf numFmtId="0" fontId="8" fillId="2" borderId="0" xfId="0" applyFont="1" applyFill="1" applyAlignment="1">
      <alignment vertical="center"/>
    </xf>
    <xf numFmtId="0" fontId="9" fillId="0" borderId="0" xfId="0" applyFont="1"/>
    <xf numFmtId="0" fontId="10" fillId="3" borderId="0" xfId="0" applyFont="1" applyFill="1" applyAlignment="1">
      <alignment vertical="center" wrapText="1"/>
    </xf>
    <xf numFmtId="0" fontId="9" fillId="0" borderId="0" xfId="0" applyFont="1" applyAlignment="1">
      <alignment wrapText="1"/>
    </xf>
    <xf numFmtId="0" fontId="11" fillId="5" borderId="0" xfId="0" applyFont="1" applyFill="1" applyAlignment="1">
      <alignment vertical="center" wrapText="1"/>
    </xf>
    <xf numFmtId="0" fontId="11" fillId="5" borderId="0" xfId="0" applyFont="1" applyFill="1" applyAlignment="1">
      <alignment vertical="center"/>
    </xf>
    <xf numFmtId="0" fontId="13" fillId="15" borderId="0" xfId="0" applyFont="1" applyFill="1"/>
    <xf numFmtId="0" fontId="14" fillId="16" borderId="0" xfId="0" applyFont="1" applyFill="1" applyAlignment="1">
      <alignment wrapText="1"/>
    </xf>
    <xf numFmtId="0" fontId="15" fillId="17" borderId="0" xfId="0" applyFont="1" applyFill="1" applyAlignment="1">
      <alignment wrapText="1"/>
    </xf>
  </cellXfs>
  <cellStyles count="1">
    <cellStyle name="Normal" xfId="0" builtinId="0"/>
  </cellStyles>
  <dxfs count="29">
    <dxf>
      <font>
        <b/>
        <color rgb="FF173F32"/>
      </font>
      <fill>
        <patternFill>
          <bgColor rgb="FFDDECE4"/>
        </patternFill>
      </fill>
    </dxf>
    <dxf>
      <font>
        <color rgb="FF475569"/>
      </font>
      <fill>
        <patternFill>
          <bgColor rgb="FFE5E7EB"/>
        </patternFill>
      </fill>
    </dxf>
    <dxf>
      <font>
        <b/>
        <color rgb="FF173F32"/>
      </font>
      <fill>
        <patternFill>
          <bgColor rgb="FFDDECE4"/>
        </patternFill>
      </fill>
    </dxf>
    <dxf>
      <font>
        <color rgb="FF475569"/>
      </font>
      <fill>
        <patternFill>
          <bgColor rgb="FFE5E7EB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7231D"/>
        <name val="Aptos"/>
        <scheme val="none"/>
      </font>
      <numFmt numFmtId="30" formatCode="@"/>
      <alignment horizontal="general" vertical="center" textRotation="0" wrapText="0" indent="0" justifyLastLine="0" shrinkToFit="0" readingOrder="0"/>
      <border diagonalUp="0" diagonalDown="0">
        <left/>
        <right style="thin">
          <color rgb="FFE3EAE6"/>
        </right>
        <top/>
        <bottom/>
        <vertical/>
        <horizontal/>
      </border>
    </dxf>
    <dxf>
      <font>
        <u val="none"/>
        <sz val="12"/>
        <name val="Aptos"/>
        <scheme val="none"/>
      </font>
    </dxf>
    <dxf>
      <font>
        <u val="none"/>
        <sz val="12"/>
        <name val="Aptos"/>
        <scheme val="none"/>
      </font>
    </dxf>
    <dxf>
      <font>
        <u val="none"/>
        <sz val="12"/>
        <color auto="1"/>
        <name val="Aptos"/>
        <scheme val="none"/>
      </font>
    </dxf>
    <dxf>
      <font>
        <u val="none"/>
        <sz val="12"/>
        <name val="Aptos"/>
        <scheme val="none"/>
      </font>
    </dxf>
    <dxf>
      <font>
        <u val="none"/>
        <sz val="12"/>
        <name val="Aptos"/>
        <scheme val="none"/>
      </font>
    </dxf>
    <dxf>
      <font>
        <u val="none"/>
        <sz val="12"/>
        <name val="Aptos"/>
        <scheme val="none"/>
      </font>
    </dxf>
    <dxf>
      <font>
        <u val="none"/>
        <sz val="12"/>
        <name val="Aptos"/>
        <scheme val="none"/>
      </font>
    </dxf>
    <dxf>
      <font>
        <u val="none"/>
        <sz val="12"/>
        <name val="Aptos"/>
        <scheme val="none"/>
      </font>
    </dxf>
    <dxf>
      <font>
        <u val="none"/>
        <sz val="12"/>
        <name val="Aptos"/>
        <scheme val="none"/>
      </font>
      <numFmt numFmtId="164" formatCode="&quot;$&quot;#,##0.00"/>
    </dxf>
    <dxf>
      <font>
        <u val="none"/>
        <sz val="12"/>
        <name val="Aptos"/>
        <scheme val="none"/>
      </font>
      <numFmt numFmtId="164" formatCode="&quot;$&quot;#,##0.00"/>
    </dxf>
    <dxf>
      <font>
        <u val="none"/>
        <sz val="12"/>
        <name val="Aptos"/>
        <scheme val="none"/>
      </font>
    </dxf>
    <dxf>
      <font>
        <u val="none"/>
        <sz val="12"/>
        <name val="Aptos"/>
        <scheme val="none"/>
      </font>
    </dxf>
    <dxf>
      <font>
        <u val="none"/>
        <sz val="12"/>
        <name val="Aptos"/>
        <scheme val="none"/>
      </font>
    </dxf>
    <dxf>
      <font>
        <u val="none"/>
        <sz val="12"/>
        <name val="Aptos"/>
        <scheme val="none"/>
      </font>
    </dxf>
    <dxf>
      <font>
        <u val="none"/>
        <sz val="12"/>
        <name val="Aptos"/>
        <scheme val="none"/>
      </font>
    </dxf>
    <dxf>
      <font>
        <u val="none"/>
        <sz val="12"/>
        <name val="Aptos"/>
        <scheme val="none"/>
      </font>
      <numFmt numFmtId="1" formatCode="0"/>
    </dxf>
    <dxf>
      <font>
        <u val="none"/>
        <sz val="12"/>
        <name val="Aptos"/>
        <scheme val="none"/>
      </font>
    </dxf>
    <dxf>
      <font>
        <u val="none"/>
        <sz val="12"/>
        <name val="Aptos"/>
        <scheme val="none"/>
      </font>
    </dxf>
    <dxf>
      <font>
        <u val="none"/>
        <sz val="12"/>
        <name val="Aptos"/>
        <scheme val="none"/>
      </font>
    </dxf>
    <dxf>
      <font>
        <u val="none"/>
        <sz val="12"/>
        <name val="Aptos"/>
        <scheme val="none"/>
      </font>
    </dxf>
    <dxf>
      <font>
        <u val="none"/>
        <sz val="12"/>
        <name val="Aptos"/>
        <scheme val="none"/>
      </font>
    </dxf>
    <dxf>
      <font>
        <u val="none"/>
        <sz val="12"/>
        <name val="Aptos"/>
        <scheme val="none"/>
      </font>
    </dxf>
    <dxf>
      <font>
        <u val="none"/>
        <sz val="12"/>
        <name val="Aptos"/>
        <scheme val="none"/>
      </font>
    </dxf>
    <dxf>
      <font>
        <u val="none"/>
        <sz val="12"/>
        <color rgb="FF17231D"/>
        <name val="Aptos"/>
        <scheme val="none"/>
      </font>
      <numFmt numFmtId="30" formatCode="@"/>
      <border>
        <left/>
        <right style="thin">
          <color rgb="FFE3EAE6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0000000}" name="TournamentsTable" displayName="TournamentsTable" ref="A4:I8" totalsRowShown="0">
  <tableColumns count="9">
    <tableColumn id="1" xr3:uid="{00000000-0010-0000-0000-000001000000}" name="Tournament ID"/>
    <tableColumn id="2" xr3:uid="{00000000-0010-0000-0000-000002000000}" name="Slug"/>
    <tableColumn id="3" xr3:uid="{00000000-0010-0000-0000-000003000000}" name="Title"/>
    <tableColumn id="4" xr3:uid="{00000000-0010-0000-0000-000004000000}" name="Date"/>
    <tableColumn id="5" xr3:uid="{00000000-0010-0000-0000-000005000000}" name="Host"/>
    <tableColumn id="6" xr3:uid="{00000000-0010-0000-0000-000006000000}" name="Status"/>
    <tableColumn id="7" xr3:uid="{00000000-0010-0000-0000-000007000000}" name="Start Time"/>
    <tableColumn id="8" xr3:uid="{00000000-0010-0000-0000-000008000000}" name="Initial Buy-In"/>
    <tableColumn id="9" xr3:uid="{00000000-0010-0000-0000-000009000000}" name="Notes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ournamentResultsTable" displayName="TournamentResultsTable" ref="A4:I56" totalsRowShown="0" dataDxfId="27">
  <tableColumns count="9">
    <tableColumn id="1" xr3:uid="{00000000-0010-0000-0100-000001000000}" name="Tournament ID" dataDxfId="26"/>
    <tableColumn id="2" xr3:uid="{00000000-0010-0000-0100-000002000000}" name="Player" dataDxfId="25"/>
    <tableColumn id="3" xr3:uid="{00000000-0010-0000-0100-000003000000}" name="Total Buy-In" dataDxfId="24"/>
    <tableColumn id="4" xr3:uid="{00000000-0010-0000-0100-000004000000}" name="Placement" dataDxfId="23"/>
    <tableColumn id="5" xr3:uid="{00000000-0010-0000-0100-000005000000}" name="Placement Payout" dataDxfId="22"/>
    <tableColumn id="6" xr3:uid="{00000000-0010-0000-0100-000006000000}" name="Bonus Payout" dataDxfId="21"/>
    <tableColumn id="7" xr3:uid="{00000000-0010-0000-0100-000007000000}" name="Elimination Level" dataDxfId="20"/>
    <tableColumn id="9" xr3:uid="{00000000-0010-0000-0100-000009000000}" name="Eliminated At" dataDxfId="19"/>
    <tableColumn id="10" xr3:uid="{00000000-0010-0000-0100-00000A000000}" name="Eliminated By" dataDxfId="18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2000000}" name="CashGamesTable" displayName="CashGamesTable" ref="A4:I26" totalsRowShown="0">
  <tableColumns count="9">
    <tableColumn id="1" xr3:uid="{00000000-0010-0000-0200-000001000000}" name="Cash Game ID"/>
    <tableColumn id="2" xr3:uid="{00000000-0010-0000-0200-000002000000}" name="Slug"/>
    <tableColumn id="3" xr3:uid="{00000000-0010-0000-0200-000003000000}" name="Title"/>
    <tableColumn id="4" xr3:uid="{00000000-0010-0000-0200-000004000000}" name="Date"/>
    <tableColumn id="5" xr3:uid="{00000000-0010-0000-0200-000005000000}" name="Host"/>
    <tableColumn id="6" xr3:uid="{00000000-0010-0000-0200-000006000000}" name="Status"/>
    <tableColumn id="7" xr3:uid="{00000000-0010-0000-0200-000007000000}" name="Start Time"/>
    <tableColumn id="8" xr3:uid="{00000000-0010-0000-0200-000008000000}" name="Initial Buy-In"/>
    <tableColumn id="9" xr3:uid="{00000000-0010-0000-0200-000009000000}" name="Notes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ashGameResultsTable" displayName="CashGameResultsTable" ref="A4:D184" totalsRowShown="0" dataDxfId="17">
  <sortState xmlns:xlrd2="http://schemas.microsoft.com/office/spreadsheetml/2017/richdata2" ref="A5:D21">
    <sortCondition ref="A15:A21"/>
  </sortState>
  <tableColumns count="4">
    <tableColumn id="1" xr3:uid="{00000000-0010-0000-0300-000001000000}" name="Cash Game ID" dataDxfId="16"/>
    <tableColumn id="2" xr3:uid="{00000000-0010-0000-0300-000002000000}" name="Player" dataDxfId="15"/>
    <tableColumn id="3" xr3:uid="{00000000-0010-0000-0300-000003000000}" name="Amount Buy-In" dataDxfId="14"/>
    <tableColumn id="4" xr3:uid="{00000000-0010-0000-0300-000004000000}" name="Amount At End" dataDxfId="13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EventPhotosTable" displayName="EventPhotosTable" ref="A4:E8" totalsRowShown="0">
  <autoFilter ref="A4:E8" xr:uid="{00000000-0009-0000-0100-000007000000}"/>
  <tableColumns count="5">
    <tableColumn id="1" xr3:uid="{00000000-0010-0000-0400-000001000000}" name="Event ID" dataDxfId="28"/>
    <tableColumn id="2" xr3:uid="{00000000-0010-0000-0400-000002000000}" name="Image Path"/>
    <tableColumn id="3" xr3:uid="{00000000-0010-0000-0400-000003000000}" name="Caption"/>
    <tableColumn id="4" xr3:uid="{00000000-0010-0000-0400-000004000000}" name="Show on Home"/>
    <tableColumn id="5" xr3:uid="{00000000-0010-0000-0400-000005000000}" name="Sort Order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AnnouncementsTable" displayName="AnnouncementsTable" ref="A4:G7" totalsRowShown="0" dataDxfId="12">
  <autoFilter ref="A4:G7" xr:uid="{00000000-0009-0000-0100-000008000000}"/>
  <tableColumns count="7">
    <tableColumn id="1" xr3:uid="{00000000-0010-0000-0500-000001000000}" name="Announcement ID" dataDxfId="11"/>
    <tableColumn id="2" xr3:uid="{00000000-0010-0000-0500-000002000000}" name="Date" dataDxfId="10"/>
    <tableColumn id="3" xr3:uid="{00000000-0010-0000-0500-000003000000}" name="Title" dataDxfId="9"/>
    <tableColumn id="4" xr3:uid="{00000000-0010-0000-0500-000004000000}" name="Body" dataDxfId="8"/>
    <tableColumn id="5" xr3:uid="{00000000-0010-0000-0500-000005000000}" name="Event ID" dataDxfId="7"/>
    <tableColumn id="6" xr3:uid="{00000000-0010-0000-0500-000006000000}" name="Expires" dataDxfId="6"/>
    <tableColumn id="7" xr3:uid="{00000000-0010-0000-0500-000007000000}" name="Pinned" dataDxfId="5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6000000}" name="BlindSchedulesTable" displayName="BlindSchedulesTable" ref="A4:E37" totalsRowShown="0">
  <tableColumns count="5">
    <tableColumn id="1" xr3:uid="{00000000-0010-0000-0600-000001000000}" name="Tournament ID" dataDxfId="4"/>
    <tableColumn id="2" xr3:uid="{00000000-0010-0000-0600-000002000000}" name="Level"/>
    <tableColumn id="3" xr3:uid="{00000000-0010-0000-0600-000003000000}" name="Duration"/>
    <tableColumn id="4" xr3:uid="{00000000-0010-0000-0600-000004000000}" name="Small Blind"/>
    <tableColumn id="5" xr3:uid="{00000000-0010-0000-0600-000005000000}" name="Big Blind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showGridLines="0" workbookViewId="0">
      <selection sqref="A1:H2"/>
    </sheetView>
  </sheetViews>
  <sheetFormatPr baseColWidth="10" defaultColWidth="8.83203125" defaultRowHeight="14"/>
  <cols>
    <col min="1" max="1" width="7" customWidth="1"/>
    <col min="2" max="5" width="18" customWidth="1"/>
    <col min="6" max="7" width="16" customWidth="1"/>
    <col min="8" max="8" width="12" customWidth="1"/>
  </cols>
  <sheetData>
    <row r="1" spans="1:8" ht="28" customHeight="1">
      <c r="A1" s="74" t="s">
        <v>0</v>
      </c>
      <c r="B1" s="74" t="s">
        <v>0</v>
      </c>
      <c r="C1" s="74" t="s">
        <v>0</v>
      </c>
      <c r="D1" s="74" t="s">
        <v>0</v>
      </c>
      <c r="E1" s="74" t="s">
        <v>0</v>
      </c>
      <c r="F1" s="74" t="s">
        <v>0</v>
      </c>
      <c r="G1" s="74" t="s">
        <v>0</v>
      </c>
      <c r="H1" s="74" t="s">
        <v>0</v>
      </c>
    </row>
    <row r="2" spans="1:8" ht="28" customHeight="1">
      <c r="A2" s="74" t="s">
        <v>0</v>
      </c>
      <c r="B2" s="74" t="s">
        <v>0</v>
      </c>
      <c r="C2" s="74" t="s">
        <v>0</v>
      </c>
      <c r="D2" s="74" t="s">
        <v>0</v>
      </c>
      <c r="E2" s="74" t="s">
        <v>0</v>
      </c>
      <c r="F2" s="74" t="s">
        <v>0</v>
      </c>
      <c r="G2" s="74" t="s">
        <v>0</v>
      </c>
      <c r="H2" s="74" t="s">
        <v>0</v>
      </c>
    </row>
    <row r="3" spans="1:8" ht="24" customHeight="1">
      <c r="A3" s="75" t="s">
        <v>1</v>
      </c>
      <c r="B3" s="75" t="s">
        <v>1</v>
      </c>
      <c r="C3" s="75" t="s">
        <v>1</v>
      </c>
      <c r="D3" s="75" t="s">
        <v>1</v>
      </c>
      <c r="E3" s="75" t="s">
        <v>1</v>
      </c>
      <c r="F3" s="75" t="s">
        <v>1</v>
      </c>
      <c r="G3" s="75" t="s">
        <v>1</v>
      </c>
      <c r="H3" s="75" t="s">
        <v>1</v>
      </c>
    </row>
    <row r="5" spans="1:8" ht="25" customHeight="1">
      <c r="A5" s="76" t="s">
        <v>2</v>
      </c>
      <c r="B5" s="76" t="s">
        <v>2</v>
      </c>
      <c r="C5" s="76" t="s">
        <v>2</v>
      </c>
      <c r="D5" s="76" t="s">
        <v>2</v>
      </c>
      <c r="E5" s="76" t="s">
        <v>2</v>
      </c>
      <c r="F5" s="76" t="s">
        <v>3</v>
      </c>
      <c r="G5" s="76" t="s">
        <v>3</v>
      </c>
      <c r="H5" s="76" t="s">
        <v>3</v>
      </c>
    </row>
    <row r="6" spans="1:8" ht="30" customHeight="1">
      <c r="A6" s="39">
        <v>1</v>
      </c>
      <c r="B6" s="77" t="s">
        <v>4</v>
      </c>
      <c r="C6" s="77" t="s">
        <v>4</v>
      </c>
      <c r="D6" s="77" t="s">
        <v>4</v>
      </c>
      <c r="E6" s="77" t="s">
        <v>4</v>
      </c>
      <c r="F6" s="78" t="s">
        <v>5</v>
      </c>
      <c r="G6" s="78" t="s">
        <v>5</v>
      </c>
      <c r="H6" s="40">
        <f>COUNTA(Tournaments!A5:A500)</f>
        <v>4</v>
      </c>
    </row>
    <row r="7" spans="1:8" ht="30" customHeight="1">
      <c r="A7" s="39">
        <v>2</v>
      </c>
      <c r="B7" s="79" t="s">
        <v>6</v>
      </c>
      <c r="C7" s="79" t="s">
        <v>7</v>
      </c>
      <c r="D7" s="79" t="s">
        <v>7</v>
      </c>
      <c r="E7" s="79" t="s">
        <v>7</v>
      </c>
      <c r="F7" s="80" t="s">
        <v>8</v>
      </c>
      <c r="G7" s="80" t="s">
        <v>8</v>
      </c>
      <c r="H7" s="41">
        <f>COUNTIF(Tournaments!F5:F500,"upcoming")</f>
        <v>0</v>
      </c>
    </row>
    <row r="8" spans="1:8" ht="30" customHeight="1">
      <c r="A8" s="39">
        <v>3</v>
      </c>
      <c r="B8" s="77" t="s">
        <v>9</v>
      </c>
      <c r="C8" s="77" t="s">
        <v>9</v>
      </c>
      <c r="D8" s="77" t="s">
        <v>9</v>
      </c>
      <c r="E8" s="77" t="s">
        <v>9</v>
      </c>
      <c r="F8" s="78" t="s">
        <v>10</v>
      </c>
      <c r="G8" s="78" t="s">
        <v>10</v>
      </c>
      <c r="H8" s="40">
        <f>COUNTA('Cash Games'!A5:A500)</f>
        <v>22</v>
      </c>
    </row>
    <row r="9" spans="1:8" ht="30" customHeight="1">
      <c r="A9" s="39">
        <v>4</v>
      </c>
      <c r="B9" s="79" t="s">
        <v>11</v>
      </c>
      <c r="C9" s="79" t="s">
        <v>11</v>
      </c>
      <c r="D9" s="79" t="s">
        <v>11</v>
      </c>
      <c r="E9" s="79" t="s">
        <v>11</v>
      </c>
      <c r="F9" s="80" t="s">
        <v>12</v>
      </c>
      <c r="G9" s="80" t="s">
        <v>12</v>
      </c>
      <c r="H9" s="41">
        <f>COUNTA('Event Photos'!A5:A500)</f>
        <v>4</v>
      </c>
    </row>
    <row r="10" spans="1:8" ht="30" customHeight="1">
      <c r="A10" s="39">
        <v>5</v>
      </c>
      <c r="B10" s="77" t="s">
        <v>13</v>
      </c>
      <c r="C10" s="77" t="s">
        <v>13</v>
      </c>
      <c r="D10" s="77" t="s">
        <v>13</v>
      </c>
      <c r="E10" s="77" t="s">
        <v>13</v>
      </c>
      <c r="F10" s="78" t="s">
        <v>14</v>
      </c>
      <c r="G10" s="78" t="s">
        <v>14</v>
      </c>
      <c r="H10" s="40">
        <f>COUNTA(Announcements!A5:A500)</f>
        <v>3</v>
      </c>
    </row>
    <row r="11" spans="1:8" ht="30" customHeight="1">
      <c r="A11" s="39">
        <v>6</v>
      </c>
      <c r="B11" s="79" t="s">
        <v>15</v>
      </c>
      <c r="C11" s="79" t="s">
        <v>15</v>
      </c>
      <c r="D11" s="79" t="s">
        <v>15</v>
      </c>
      <c r="E11" s="79" t="s">
        <v>15</v>
      </c>
      <c r="F11" s="80" t="s">
        <v>16</v>
      </c>
      <c r="G11" s="80" t="s">
        <v>16</v>
      </c>
      <c r="H11" s="41">
        <f>COUNTA('Tournament Results'!A5:A509)+COUNTA('Cash Game Results'!A5:A499)</f>
        <v>232</v>
      </c>
    </row>
    <row r="13" spans="1:8" ht="28" customHeight="1"/>
    <row r="14" spans="1:8" ht="28" customHeight="1">
      <c r="A14" s="81" t="s">
        <v>17</v>
      </c>
      <c r="B14" s="81" t="s">
        <v>17</v>
      </c>
      <c r="C14" s="81" t="s">
        <v>17</v>
      </c>
      <c r="D14" s="81" t="s">
        <v>17</v>
      </c>
      <c r="E14" s="81" t="s">
        <v>17</v>
      </c>
      <c r="F14" s="81" t="s">
        <v>17</v>
      </c>
      <c r="G14" s="81" t="s">
        <v>17</v>
      </c>
      <c r="H14" s="81" t="s">
        <v>17</v>
      </c>
    </row>
    <row r="15" spans="1:8" ht="24" customHeight="1">
      <c r="A15" s="77" t="s">
        <v>18</v>
      </c>
      <c r="B15" s="77" t="s">
        <v>18</v>
      </c>
      <c r="C15" s="77" t="s">
        <v>18</v>
      </c>
      <c r="D15" s="77" t="s">
        <v>18</v>
      </c>
      <c r="E15" s="77" t="s">
        <v>18</v>
      </c>
      <c r="F15" s="77" t="s">
        <v>18</v>
      </c>
      <c r="G15" s="77" t="s">
        <v>18</v>
      </c>
      <c r="H15" s="77" t="s">
        <v>18</v>
      </c>
    </row>
    <row r="16" spans="1:8" ht="24" customHeight="1">
      <c r="A16" s="79" t="s">
        <v>19</v>
      </c>
      <c r="B16" s="79" t="s">
        <v>19</v>
      </c>
      <c r="C16" s="79" t="s">
        <v>19</v>
      </c>
      <c r="D16" s="79" t="s">
        <v>19</v>
      </c>
      <c r="E16" s="79" t="s">
        <v>19</v>
      </c>
      <c r="F16" s="79" t="s">
        <v>19</v>
      </c>
      <c r="G16" s="79" t="s">
        <v>19</v>
      </c>
      <c r="H16" s="79" t="s">
        <v>19</v>
      </c>
    </row>
    <row r="17" spans="1:8" ht="24" customHeight="1">
      <c r="A17" s="77" t="s">
        <v>20</v>
      </c>
      <c r="B17" s="77" t="s">
        <v>20</v>
      </c>
      <c r="C17" s="77" t="s">
        <v>20</v>
      </c>
      <c r="D17" s="77" t="s">
        <v>20</v>
      </c>
      <c r="E17" s="77" t="s">
        <v>20</v>
      </c>
      <c r="F17" s="77" t="s">
        <v>20</v>
      </c>
      <c r="G17" s="77" t="s">
        <v>20</v>
      </c>
      <c r="H17" s="77" t="s">
        <v>20</v>
      </c>
    </row>
    <row r="18" spans="1:8" ht="24" customHeight="1">
      <c r="A18" s="79" t="s">
        <v>21</v>
      </c>
      <c r="B18" s="79" t="s">
        <v>21</v>
      </c>
      <c r="C18" s="79" t="s">
        <v>21</v>
      </c>
      <c r="D18" s="79" t="s">
        <v>21</v>
      </c>
      <c r="E18" s="79" t="s">
        <v>21</v>
      </c>
      <c r="F18" s="79" t="s">
        <v>21</v>
      </c>
      <c r="G18" s="79" t="s">
        <v>21</v>
      </c>
      <c r="H18" s="79" t="s">
        <v>21</v>
      </c>
    </row>
    <row r="19" spans="1:8" ht="24" customHeight="1">
      <c r="A19" s="77" t="s">
        <v>22</v>
      </c>
      <c r="B19" s="77" t="s">
        <v>22</v>
      </c>
      <c r="C19" s="77" t="s">
        <v>22</v>
      </c>
      <c r="D19" s="77" t="s">
        <v>22</v>
      </c>
      <c r="E19" s="77" t="s">
        <v>22</v>
      </c>
      <c r="F19" s="77" t="s">
        <v>22</v>
      </c>
      <c r="G19" s="77" t="s">
        <v>22</v>
      </c>
      <c r="H19" s="77" t="s">
        <v>22</v>
      </c>
    </row>
    <row r="20" spans="1:8" ht="24" customHeight="1">
      <c r="A20" s="79" t="s">
        <v>23</v>
      </c>
      <c r="B20" s="79" t="s">
        <v>23</v>
      </c>
      <c r="C20" s="79" t="s">
        <v>23</v>
      </c>
      <c r="D20" s="79" t="s">
        <v>23</v>
      </c>
      <c r="E20" s="79" t="s">
        <v>23</v>
      </c>
      <c r="F20" s="79" t="s">
        <v>23</v>
      </c>
      <c r="G20" s="79" t="s">
        <v>23</v>
      </c>
      <c r="H20" s="79" t="s">
        <v>23</v>
      </c>
    </row>
  </sheetData>
  <mergeCells count="23">
    <mergeCell ref="A20:H20"/>
    <mergeCell ref="A15:H15"/>
    <mergeCell ref="A16:H16"/>
    <mergeCell ref="A17:H17"/>
    <mergeCell ref="A18:H18"/>
    <mergeCell ref="A19:H19"/>
    <mergeCell ref="B10:E10"/>
    <mergeCell ref="F10:G10"/>
    <mergeCell ref="B11:E11"/>
    <mergeCell ref="F11:G11"/>
    <mergeCell ref="A14:H14"/>
    <mergeCell ref="B7:E7"/>
    <mergeCell ref="F7:G7"/>
    <mergeCell ref="B8:E8"/>
    <mergeCell ref="F8:G8"/>
    <mergeCell ref="B9:E9"/>
    <mergeCell ref="F9:G9"/>
    <mergeCell ref="A1:H2"/>
    <mergeCell ref="A3:H3"/>
    <mergeCell ref="A5:E5"/>
    <mergeCell ref="F5:H5"/>
    <mergeCell ref="B6:E6"/>
    <mergeCell ref="F6:G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"/>
  <sheetViews>
    <sheetView showGridLines="0" workbookViewId="0">
      <selection activeCell="G12" sqref="G12"/>
    </sheetView>
  </sheetViews>
  <sheetFormatPr baseColWidth="10" defaultColWidth="8.83203125" defaultRowHeight="16"/>
  <cols>
    <col min="1" max="1" width="25" style="1" customWidth="1"/>
    <col min="2" max="2" width="27" style="1" customWidth="1"/>
    <col min="3" max="3" width="34.33203125" style="1" customWidth="1"/>
    <col min="4" max="4" width="15" style="28" customWidth="1"/>
    <col min="5" max="5" width="19" style="1" customWidth="1"/>
    <col min="6" max="6" width="13" style="1" customWidth="1"/>
    <col min="7" max="7" width="13" style="29" customWidth="1"/>
    <col min="8" max="8" width="15" style="1" customWidth="1"/>
    <col min="9" max="9" width="42" style="14" customWidth="1"/>
    <col min="10" max="10" width="42" customWidth="1"/>
    <col min="11" max="16384" width="8.83203125" style="1"/>
  </cols>
  <sheetData>
    <row r="1" spans="1:9" ht="24" customHeight="1">
      <c r="A1" s="71" t="s">
        <v>24</v>
      </c>
      <c r="B1" s="71" t="s">
        <v>24</v>
      </c>
      <c r="C1" s="71" t="s">
        <v>24</v>
      </c>
      <c r="D1" s="71" t="s">
        <v>24</v>
      </c>
      <c r="E1" s="71" t="s">
        <v>24</v>
      </c>
      <c r="F1" s="71" t="s">
        <v>24</v>
      </c>
      <c r="G1" s="71" t="s">
        <v>24</v>
      </c>
      <c r="H1" s="71" t="s">
        <v>24</v>
      </c>
      <c r="I1" s="71" t="s">
        <v>24</v>
      </c>
    </row>
    <row r="2" spans="1:9" ht="24" customHeight="1">
      <c r="A2" s="72" t="s">
        <v>25</v>
      </c>
      <c r="B2" s="72" t="s">
        <v>25</v>
      </c>
      <c r="C2" s="72" t="s">
        <v>25</v>
      </c>
      <c r="D2" s="72" t="s">
        <v>25</v>
      </c>
      <c r="E2" s="72" t="s">
        <v>25</v>
      </c>
      <c r="F2" s="72" t="s">
        <v>25</v>
      </c>
      <c r="G2" s="72" t="s">
        <v>25</v>
      </c>
      <c r="H2" s="72" t="s">
        <v>25</v>
      </c>
      <c r="I2" s="72" t="s">
        <v>25</v>
      </c>
    </row>
    <row r="3" spans="1:9" ht="24" customHeight="1">
      <c r="A3" s="73" t="s">
        <v>26</v>
      </c>
      <c r="B3" s="73" t="s">
        <v>26</v>
      </c>
      <c r="C3" s="73" t="s">
        <v>26</v>
      </c>
      <c r="D3" s="73" t="s">
        <v>26</v>
      </c>
      <c r="E3" s="73" t="s">
        <v>26</v>
      </c>
      <c r="F3" s="73" t="s">
        <v>26</v>
      </c>
      <c r="G3" s="73" t="s">
        <v>26</v>
      </c>
      <c r="H3" s="73" t="s">
        <v>26</v>
      </c>
      <c r="I3" s="73" t="s">
        <v>26</v>
      </c>
    </row>
    <row r="4" spans="1:9" ht="23" customHeight="1">
      <c r="A4" s="2" t="s">
        <v>27</v>
      </c>
      <c r="B4" s="3" t="s">
        <v>28</v>
      </c>
      <c r="C4" s="3" t="s">
        <v>29</v>
      </c>
      <c r="D4" s="27" t="s">
        <v>30</v>
      </c>
      <c r="E4" s="3" t="s">
        <v>31</v>
      </c>
      <c r="F4" s="3" t="s">
        <v>32</v>
      </c>
      <c r="G4" s="15" t="s">
        <v>33</v>
      </c>
      <c r="H4" s="3" t="s">
        <v>34</v>
      </c>
      <c r="I4" s="5" t="s">
        <v>35</v>
      </c>
    </row>
    <row r="5" spans="1:9" ht="23" customHeight="1">
      <c r="A5" s="6" t="s">
        <v>36</v>
      </c>
      <c r="B5" s="6" t="s">
        <v>36</v>
      </c>
      <c r="C5" s="7" t="s">
        <v>37</v>
      </c>
      <c r="D5" s="26">
        <v>46109</v>
      </c>
      <c r="E5" s="7" t="s">
        <v>38</v>
      </c>
      <c r="F5" s="7" t="s">
        <v>39</v>
      </c>
      <c r="G5" s="62"/>
      <c r="H5" s="58">
        <v>20</v>
      </c>
      <c r="I5" s="9"/>
    </row>
    <row r="6" spans="1:9" ht="23" customHeight="1">
      <c r="A6" s="13" t="s">
        <v>40</v>
      </c>
      <c r="B6" s="13" t="s">
        <v>40</v>
      </c>
      <c r="C6" s="1" t="s">
        <v>41</v>
      </c>
      <c r="D6" s="28">
        <v>45913</v>
      </c>
      <c r="E6" s="1" t="s">
        <v>38</v>
      </c>
      <c r="F6" s="1" t="s">
        <v>39</v>
      </c>
      <c r="G6" s="62"/>
      <c r="H6" s="59">
        <v>20</v>
      </c>
    </row>
    <row r="7" spans="1:9" ht="23" customHeight="1">
      <c r="A7" s="13" t="s">
        <v>42</v>
      </c>
      <c r="B7" s="13" t="s">
        <v>42</v>
      </c>
      <c r="C7" s="7" t="s">
        <v>43</v>
      </c>
      <c r="D7" s="28">
        <v>46235</v>
      </c>
      <c r="E7" s="1" t="s">
        <v>38</v>
      </c>
      <c r="F7" s="1" t="s">
        <v>39</v>
      </c>
      <c r="G7" s="62">
        <v>0.77083333333333337</v>
      </c>
      <c r="H7" s="60">
        <v>20</v>
      </c>
    </row>
    <row r="8" spans="1:9">
      <c r="A8" s="1" t="s">
        <v>44</v>
      </c>
      <c r="B8" s="1" t="s">
        <v>44</v>
      </c>
      <c r="C8" s="1" t="s">
        <v>45</v>
      </c>
      <c r="D8" s="28">
        <v>46305</v>
      </c>
      <c r="E8" s="1" t="s">
        <v>46</v>
      </c>
      <c r="F8" s="1" t="s">
        <v>39</v>
      </c>
      <c r="G8" s="62">
        <v>0.77083333333333337</v>
      </c>
      <c r="H8" s="60">
        <v>50</v>
      </c>
    </row>
  </sheetData>
  <mergeCells count="3">
    <mergeCell ref="A1:I1"/>
    <mergeCell ref="A2:I2"/>
    <mergeCell ref="A3:I3"/>
  </mergeCells>
  <conditionalFormatting sqref="F5:F500">
    <cfRule type="containsText" dxfId="3" priority="2" operator="containsText" text="upcoming"/>
  </conditionalFormatting>
  <conditionalFormatting sqref="G5:G198">
    <cfRule type="containsText" dxfId="2" priority="1" operator="containsText" text="upcoming"/>
  </conditionalFormatting>
  <dataValidations count="2">
    <dataValidation type="list" sqref="G5:G198 F5:F8" xr:uid="{00000000-0002-0000-0100-000000000000}">
      <formula1>"completed,upcoming"</formula1>
    </dataValidation>
    <dataValidation type="whole" sqref="I5:I198" xr:uid="{00000000-0002-0000-0100-000001000000}">
      <formula1>1</formula1>
      <formula2>1000000</formula2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6"/>
  <sheetViews>
    <sheetView showGridLines="0" topLeftCell="A39" workbookViewId="0">
      <selection activeCell="G53" sqref="G53"/>
    </sheetView>
  </sheetViews>
  <sheetFormatPr baseColWidth="10" defaultColWidth="8.83203125" defaultRowHeight="28" customHeight="1"/>
  <cols>
    <col min="1" max="1" width="22.83203125" style="1" customWidth="1"/>
    <col min="2" max="2" width="20" style="1" customWidth="1"/>
    <col min="3" max="3" width="15" style="14" customWidth="1"/>
    <col min="4" max="4" width="13" style="16" customWidth="1"/>
    <col min="5" max="5" width="19" style="1" customWidth="1"/>
    <col min="6" max="6" width="16" style="14" customWidth="1"/>
    <col min="7" max="7" width="18" style="14" customWidth="1"/>
    <col min="8" max="8" width="17" style="1" customWidth="1"/>
    <col min="9" max="10" width="20" style="1" customWidth="1"/>
    <col min="11" max="16384" width="8.83203125" style="1"/>
  </cols>
  <sheetData>
    <row r="1" spans="1:9" ht="28" customHeight="1">
      <c r="A1" s="82" t="s">
        <v>47</v>
      </c>
      <c r="B1" s="82"/>
      <c r="C1" s="82"/>
      <c r="D1" s="82"/>
      <c r="E1" s="82"/>
      <c r="F1" s="82"/>
      <c r="G1" s="82"/>
      <c r="H1" s="83"/>
      <c r="I1" s="83"/>
    </row>
    <row r="2" spans="1:9" ht="28" customHeight="1">
      <c r="A2" s="84" t="s">
        <v>48</v>
      </c>
      <c r="B2" s="84"/>
      <c r="C2" s="84"/>
      <c r="D2" s="84"/>
      <c r="E2" s="84"/>
      <c r="F2" s="84"/>
      <c r="G2" s="84"/>
      <c r="H2" s="85"/>
      <c r="I2" s="85"/>
    </row>
    <row r="3" spans="1:9" ht="28" customHeight="1">
      <c r="A3" s="86" t="s">
        <v>49</v>
      </c>
      <c r="B3" s="86"/>
      <c r="C3" s="86"/>
      <c r="D3" s="86"/>
      <c r="E3" s="86"/>
      <c r="F3" s="86"/>
      <c r="G3" s="86"/>
      <c r="H3" s="85"/>
      <c r="I3" s="85"/>
    </row>
    <row r="4" spans="1:9" ht="28" customHeight="1">
      <c r="A4" s="2" t="s">
        <v>27</v>
      </c>
      <c r="B4" s="3" t="s">
        <v>50</v>
      </c>
      <c r="C4" s="4" t="s">
        <v>51</v>
      </c>
      <c r="D4" s="15" t="s">
        <v>52</v>
      </c>
      <c r="E4" s="42" t="s">
        <v>53</v>
      </c>
      <c r="F4" s="43" t="s">
        <v>54</v>
      </c>
      <c r="G4" s="43" t="s">
        <v>55</v>
      </c>
      <c r="H4" s="42" t="s">
        <v>56</v>
      </c>
      <c r="I4" s="42" t="s">
        <v>57</v>
      </c>
    </row>
    <row r="5" spans="1:9" ht="28" customHeight="1">
      <c r="A5" s="6" t="s">
        <v>40</v>
      </c>
      <c r="B5" s="17" t="s">
        <v>58</v>
      </c>
      <c r="C5" s="20">
        <v>40</v>
      </c>
      <c r="D5" s="23" t="s">
        <v>59</v>
      </c>
      <c r="E5" s="44">
        <v>100</v>
      </c>
      <c r="F5" s="44">
        <v>0</v>
      </c>
      <c r="G5" s="67"/>
      <c r="H5" s="47"/>
      <c r="I5" s="48"/>
    </row>
    <row r="6" spans="1:9" ht="28" customHeight="1">
      <c r="A6" s="6" t="s">
        <v>40</v>
      </c>
      <c r="B6" s="19" t="s">
        <v>60</v>
      </c>
      <c r="C6" s="22">
        <v>20</v>
      </c>
      <c r="D6" s="25" t="s">
        <v>59</v>
      </c>
      <c r="E6" s="45">
        <v>100</v>
      </c>
      <c r="F6" s="45">
        <v>0</v>
      </c>
      <c r="G6" s="68"/>
      <c r="H6" s="49"/>
      <c r="I6" s="50"/>
    </row>
    <row r="7" spans="1:9" ht="28" customHeight="1">
      <c r="A7" s="6" t="s">
        <v>40</v>
      </c>
      <c r="B7" s="1" t="s">
        <v>61</v>
      </c>
      <c r="C7" s="14">
        <v>40</v>
      </c>
      <c r="D7" s="16" t="s">
        <v>59</v>
      </c>
      <c r="E7" s="46">
        <v>100</v>
      </c>
      <c r="F7" s="46">
        <v>0</v>
      </c>
      <c r="G7" s="69"/>
      <c r="H7" s="51"/>
      <c r="I7" s="52"/>
    </row>
    <row r="8" spans="1:9" ht="28" customHeight="1">
      <c r="A8" s="6" t="s">
        <v>40</v>
      </c>
      <c r="B8" s="1" t="s">
        <v>46</v>
      </c>
      <c r="C8" s="14">
        <v>20</v>
      </c>
      <c r="D8" s="16" t="s">
        <v>59</v>
      </c>
      <c r="E8" s="45">
        <v>100</v>
      </c>
      <c r="F8" s="45">
        <v>0</v>
      </c>
      <c r="G8" s="68"/>
      <c r="H8" s="49"/>
      <c r="I8" s="50"/>
    </row>
    <row r="9" spans="1:9" ht="28" customHeight="1">
      <c r="A9" s="6" t="s">
        <v>40</v>
      </c>
      <c r="B9" s="1" t="s">
        <v>62</v>
      </c>
      <c r="C9" s="14">
        <v>20</v>
      </c>
      <c r="D9" s="16">
        <v>5</v>
      </c>
      <c r="E9" s="46">
        <v>0</v>
      </c>
      <c r="F9" s="46">
        <v>0</v>
      </c>
      <c r="G9" s="69"/>
      <c r="H9" s="51"/>
      <c r="I9" s="52"/>
    </row>
    <row r="10" spans="1:9" ht="28" customHeight="1">
      <c r="A10" s="6" t="s">
        <v>40</v>
      </c>
      <c r="B10" s="1" t="s">
        <v>63</v>
      </c>
      <c r="C10" s="14">
        <v>20</v>
      </c>
      <c r="D10" s="16">
        <v>6</v>
      </c>
      <c r="E10" s="45">
        <v>0</v>
      </c>
      <c r="F10" s="45">
        <v>0</v>
      </c>
      <c r="G10" s="68"/>
      <c r="H10" s="49"/>
      <c r="I10" s="50"/>
    </row>
    <row r="11" spans="1:9" ht="28" customHeight="1">
      <c r="A11" s="6" t="s">
        <v>40</v>
      </c>
      <c r="B11" s="1" t="s">
        <v>64</v>
      </c>
      <c r="C11" s="14">
        <v>20</v>
      </c>
      <c r="D11" s="16">
        <v>7</v>
      </c>
      <c r="E11" s="46">
        <v>0</v>
      </c>
      <c r="F11" s="46">
        <v>0</v>
      </c>
      <c r="G11" s="69"/>
      <c r="H11" s="51"/>
      <c r="I11" s="52"/>
    </row>
    <row r="12" spans="1:9" ht="28" customHeight="1">
      <c r="A12" s="6" t="s">
        <v>40</v>
      </c>
      <c r="B12" s="1" t="s">
        <v>65</v>
      </c>
      <c r="C12" s="14">
        <v>40</v>
      </c>
      <c r="D12" s="16">
        <v>8</v>
      </c>
      <c r="E12" s="45">
        <v>0</v>
      </c>
      <c r="F12" s="45">
        <v>0</v>
      </c>
      <c r="G12" s="68"/>
      <c r="H12" s="49"/>
      <c r="I12" s="50"/>
    </row>
    <row r="13" spans="1:9" ht="28" customHeight="1">
      <c r="A13" s="6" t="s">
        <v>40</v>
      </c>
      <c r="B13" s="1" t="s">
        <v>66</v>
      </c>
      <c r="C13" s="14">
        <v>20</v>
      </c>
      <c r="D13" s="16">
        <v>9</v>
      </c>
      <c r="E13" s="46">
        <v>0</v>
      </c>
      <c r="F13" s="46">
        <v>0</v>
      </c>
      <c r="G13" s="69"/>
      <c r="H13" s="51"/>
      <c r="I13" s="52"/>
    </row>
    <row r="14" spans="1:9" ht="28" customHeight="1">
      <c r="A14" s="6" t="s">
        <v>40</v>
      </c>
      <c r="B14" s="1" t="s">
        <v>67</v>
      </c>
      <c r="C14" s="14">
        <v>20</v>
      </c>
      <c r="D14" s="16">
        <v>10</v>
      </c>
      <c r="E14" s="45">
        <v>0</v>
      </c>
      <c r="F14" s="45">
        <v>0</v>
      </c>
      <c r="G14" s="68"/>
      <c r="H14" s="49"/>
      <c r="I14" s="50"/>
    </row>
    <row r="15" spans="1:9" ht="28" customHeight="1">
      <c r="A15" s="6" t="s">
        <v>40</v>
      </c>
      <c r="B15" s="1" t="s">
        <v>68</v>
      </c>
      <c r="C15" s="14">
        <v>20</v>
      </c>
      <c r="D15" s="16">
        <v>11</v>
      </c>
      <c r="E15" s="46">
        <v>0</v>
      </c>
      <c r="F15" s="46">
        <v>0</v>
      </c>
      <c r="G15" s="69"/>
      <c r="H15" s="51"/>
      <c r="I15" s="52"/>
    </row>
    <row r="16" spans="1:9" ht="28" customHeight="1">
      <c r="A16" s="6" t="s">
        <v>40</v>
      </c>
      <c r="B16" s="1" t="s">
        <v>38</v>
      </c>
      <c r="C16" s="14">
        <v>20</v>
      </c>
      <c r="D16" s="16">
        <v>12</v>
      </c>
      <c r="E16" s="46">
        <v>0</v>
      </c>
      <c r="F16" s="46">
        <v>0</v>
      </c>
      <c r="G16" s="69"/>
      <c r="H16" s="51"/>
      <c r="I16" s="52"/>
    </row>
    <row r="17" spans="1:9" ht="28" customHeight="1">
      <c r="A17" s="6" t="s">
        <v>40</v>
      </c>
      <c r="B17" s="1" t="s">
        <v>69</v>
      </c>
      <c r="C17" s="14">
        <v>20</v>
      </c>
      <c r="D17" s="16">
        <v>13</v>
      </c>
      <c r="E17" s="45">
        <v>0</v>
      </c>
      <c r="F17" s="45">
        <v>0</v>
      </c>
      <c r="G17" s="68"/>
      <c r="H17" s="49"/>
      <c r="I17" s="50"/>
    </row>
    <row r="18" spans="1:9" ht="28" customHeight="1">
      <c r="A18" s="13" t="s">
        <v>40</v>
      </c>
      <c r="B18" s="1" t="s">
        <v>70</v>
      </c>
      <c r="C18" s="14">
        <v>20</v>
      </c>
      <c r="D18" s="16">
        <v>14</v>
      </c>
      <c r="E18" s="46">
        <v>0</v>
      </c>
      <c r="F18" s="46">
        <v>0</v>
      </c>
      <c r="G18" s="69"/>
      <c r="H18" s="51"/>
      <c r="I18" s="52"/>
    </row>
    <row r="19" spans="1:9" ht="28" customHeight="1">
      <c r="A19" s="13" t="s">
        <v>40</v>
      </c>
      <c r="B19" s="1" t="s">
        <v>71</v>
      </c>
      <c r="C19" s="14">
        <v>20</v>
      </c>
      <c r="D19" s="16">
        <v>15</v>
      </c>
      <c r="E19" s="45">
        <v>0</v>
      </c>
      <c r="F19" s="45">
        <v>0</v>
      </c>
      <c r="G19" s="68"/>
      <c r="H19" s="49"/>
      <c r="I19" s="50"/>
    </row>
    <row r="20" spans="1:9" ht="28" customHeight="1">
      <c r="A20" s="13" t="s">
        <v>40</v>
      </c>
      <c r="B20" s="1" t="s">
        <v>72</v>
      </c>
      <c r="C20" s="14">
        <v>40</v>
      </c>
      <c r="D20" s="16">
        <v>16</v>
      </c>
      <c r="E20" s="46">
        <v>0</v>
      </c>
      <c r="F20" s="46">
        <v>0</v>
      </c>
      <c r="G20" s="69"/>
      <c r="H20" s="51"/>
      <c r="I20" s="52"/>
    </row>
    <row r="21" spans="1:9" ht="28" customHeight="1">
      <c r="A21" s="13" t="s">
        <v>36</v>
      </c>
      <c r="B21" s="18" t="s">
        <v>73</v>
      </c>
      <c r="C21" s="21">
        <v>60</v>
      </c>
      <c r="D21" s="24" t="s">
        <v>74</v>
      </c>
      <c r="E21" s="45">
        <v>195</v>
      </c>
      <c r="F21" s="45">
        <v>0</v>
      </c>
      <c r="G21" s="68"/>
      <c r="H21" s="49"/>
      <c r="I21" s="50"/>
    </row>
    <row r="22" spans="1:9" ht="28" customHeight="1">
      <c r="A22" s="13" t="s">
        <v>36</v>
      </c>
      <c r="B22" s="18" t="s">
        <v>75</v>
      </c>
      <c r="C22" s="21">
        <v>20</v>
      </c>
      <c r="D22" s="24" t="s">
        <v>76</v>
      </c>
      <c r="E22" s="46">
        <v>87.75</v>
      </c>
      <c r="F22" s="46">
        <v>0</v>
      </c>
      <c r="G22" s="69"/>
      <c r="H22" s="51"/>
      <c r="I22" s="52"/>
    </row>
    <row r="23" spans="1:9" ht="28" customHeight="1">
      <c r="A23" s="13" t="s">
        <v>36</v>
      </c>
      <c r="B23" s="1" t="s">
        <v>38</v>
      </c>
      <c r="C23" s="14">
        <v>20</v>
      </c>
      <c r="D23" s="16">
        <v>3</v>
      </c>
      <c r="E23" s="45">
        <v>58.5</v>
      </c>
      <c r="F23" s="45">
        <v>0</v>
      </c>
      <c r="G23" s="68"/>
      <c r="H23" s="49"/>
      <c r="I23" s="50"/>
    </row>
    <row r="24" spans="1:9" ht="28" customHeight="1">
      <c r="A24" s="13" t="s">
        <v>36</v>
      </c>
      <c r="B24" s="1" t="s">
        <v>62</v>
      </c>
      <c r="C24" s="14">
        <v>20</v>
      </c>
      <c r="D24" s="16">
        <v>4</v>
      </c>
      <c r="E24" s="46">
        <v>48.75</v>
      </c>
      <c r="F24" s="46">
        <v>0</v>
      </c>
      <c r="G24" s="69"/>
      <c r="H24" s="51"/>
      <c r="I24" s="52"/>
    </row>
    <row r="25" spans="1:9" ht="28" customHeight="1">
      <c r="A25" s="13" t="s">
        <v>36</v>
      </c>
      <c r="B25" s="1" t="s">
        <v>63</v>
      </c>
      <c r="C25" s="14">
        <v>20</v>
      </c>
      <c r="D25" s="16">
        <v>5</v>
      </c>
      <c r="E25" s="45">
        <v>0</v>
      </c>
      <c r="F25" s="45">
        <v>0</v>
      </c>
      <c r="G25" s="68"/>
      <c r="H25" s="49"/>
      <c r="I25" s="50"/>
    </row>
    <row r="26" spans="1:9" ht="28" customHeight="1">
      <c r="A26" s="13" t="s">
        <v>36</v>
      </c>
      <c r="B26" s="1" t="s">
        <v>69</v>
      </c>
      <c r="C26" s="14">
        <v>20</v>
      </c>
      <c r="D26" s="16">
        <v>6</v>
      </c>
      <c r="E26" s="46">
        <v>0</v>
      </c>
      <c r="F26" s="46">
        <v>0</v>
      </c>
      <c r="G26" s="69"/>
      <c r="H26" s="51"/>
      <c r="I26" s="52"/>
    </row>
    <row r="27" spans="1:9" ht="28" customHeight="1">
      <c r="A27" s="13" t="s">
        <v>36</v>
      </c>
      <c r="B27" s="1" t="s">
        <v>64</v>
      </c>
      <c r="C27" s="14">
        <v>20</v>
      </c>
      <c r="D27" s="16">
        <v>7</v>
      </c>
      <c r="E27" s="45">
        <v>0</v>
      </c>
      <c r="F27" s="45">
        <v>0</v>
      </c>
      <c r="G27" s="68"/>
      <c r="H27" s="49"/>
      <c r="I27" s="50"/>
    </row>
    <row r="28" spans="1:9" ht="28" customHeight="1">
      <c r="A28" s="13" t="s">
        <v>36</v>
      </c>
      <c r="B28" s="1" t="s">
        <v>70</v>
      </c>
      <c r="C28" s="14">
        <v>20</v>
      </c>
      <c r="D28" s="16">
        <v>8</v>
      </c>
      <c r="E28" s="46">
        <v>0</v>
      </c>
      <c r="F28" s="46">
        <v>0</v>
      </c>
      <c r="G28" s="69"/>
      <c r="H28" s="51"/>
      <c r="I28" s="52"/>
    </row>
    <row r="29" spans="1:9" ht="28" customHeight="1">
      <c r="A29" s="13" t="s">
        <v>36</v>
      </c>
      <c r="B29" s="1" t="s">
        <v>67</v>
      </c>
      <c r="C29" s="14">
        <v>20</v>
      </c>
      <c r="D29" s="16">
        <v>9</v>
      </c>
      <c r="E29" s="45">
        <v>0</v>
      </c>
      <c r="F29" s="45">
        <v>0</v>
      </c>
      <c r="G29" s="68"/>
      <c r="H29" s="49"/>
      <c r="I29" s="50"/>
    </row>
    <row r="30" spans="1:9" ht="28" customHeight="1">
      <c r="A30" s="13" t="s">
        <v>36</v>
      </c>
      <c r="B30" s="1" t="s">
        <v>61</v>
      </c>
      <c r="C30" s="14">
        <v>30</v>
      </c>
      <c r="D30" s="16">
        <v>10</v>
      </c>
      <c r="E30" s="46">
        <v>0</v>
      </c>
      <c r="F30" s="46">
        <v>0</v>
      </c>
      <c r="G30" s="69"/>
      <c r="H30" s="51"/>
      <c r="I30" s="52"/>
    </row>
    <row r="31" spans="1:9" ht="28" customHeight="1">
      <c r="A31" s="13" t="s">
        <v>36</v>
      </c>
      <c r="B31" s="1" t="s">
        <v>46</v>
      </c>
      <c r="C31" s="14">
        <v>20</v>
      </c>
      <c r="D31" s="16">
        <v>11</v>
      </c>
      <c r="E31" s="45">
        <v>0</v>
      </c>
      <c r="F31" s="45">
        <v>0</v>
      </c>
      <c r="G31" s="68"/>
      <c r="H31" s="49"/>
      <c r="I31" s="50"/>
    </row>
    <row r="32" spans="1:9" ht="28" customHeight="1">
      <c r="A32" s="13" t="s">
        <v>36</v>
      </c>
      <c r="B32" s="1" t="s">
        <v>71</v>
      </c>
      <c r="C32" s="14">
        <v>40</v>
      </c>
      <c r="D32" s="16">
        <v>12</v>
      </c>
      <c r="E32" s="46">
        <v>0</v>
      </c>
      <c r="F32" s="46">
        <v>0</v>
      </c>
      <c r="G32" s="69"/>
      <c r="H32" s="51"/>
      <c r="I32" s="52"/>
    </row>
    <row r="33" spans="1:9" ht="28" customHeight="1">
      <c r="A33" s="13" t="s">
        <v>36</v>
      </c>
      <c r="B33" s="1" t="s">
        <v>77</v>
      </c>
      <c r="C33" s="14">
        <v>40</v>
      </c>
      <c r="D33" s="16">
        <v>13</v>
      </c>
      <c r="E33" s="45">
        <v>0</v>
      </c>
      <c r="F33" s="45">
        <v>0</v>
      </c>
      <c r="G33" s="68"/>
      <c r="H33" s="49"/>
      <c r="I33" s="50"/>
    </row>
    <row r="34" spans="1:9" ht="28" customHeight="1">
      <c r="A34" s="13" t="s">
        <v>36</v>
      </c>
      <c r="B34" s="1" t="s">
        <v>66</v>
      </c>
      <c r="C34" s="14">
        <v>40</v>
      </c>
      <c r="D34" s="16">
        <v>14</v>
      </c>
      <c r="E34" s="46">
        <v>0</v>
      </c>
      <c r="F34" s="46">
        <v>0</v>
      </c>
      <c r="G34" s="69"/>
      <c r="H34" s="51"/>
      <c r="I34" s="52"/>
    </row>
    <row r="35" spans="1:9" ht="28" customHeight="1">
      <c r="A35" s="13" t="s">
        <v>42</v>
      </c>
      <c r="B35" s="1" t="s">
        <v>78</v>
      </c>
      <c r="C35" s="14">
        <v>40</v>
      </c>
      <c r="D35" s="16">
        <v>14</v>
      </c>
      <c r="E35" s="46">
        <v>0</v>
      </c>
      <c r="F35" s="45">
        <v>0</v>
      </c>
      <c r="G35" s="68">
        <v>4</v>
      </c>
      <c r="H35" s="49">
        <v>0.84375</v>
      </c>
      <c r="I35" s="50" t="s">
        <v>69</v>
      </c>
    </row>
    <row r="36" spans="1:9" ht="28" customHeight="1">
      <c r="A36" s="13" t="s">
        <v>42</v>
      </c>
      <c r="B36" s="1" t="s">
        <v>71</v>
      </c>
      <c r="C36" s="14">
        <v>20</v>
      </c>
      <c r="D36" s="16">
        <v>13</v>
      </c>
      <c r="E36" s="46">
        <v>0</v>
      </c>
      <c r="F36" s="46">
        <v>0</v>
      </c>
      <c r="G36" s="69">
        <v>5</v>
      </c>
      <c r="H36" s="51">
        <v>0.85069444444444442</v>
      </c>
      <c r="I36" s="52" t="s">
        <v>73</v>
      </c>
    </row>
    <row r="37" spans="1:9" ht="28" customHeight="1">
      <c r="A37" s="13" t="s">
        <v>42</v>
      </c>
      <c r="B37" s="1" t="s">
        <v>46</v>
      </c>
      <c r="C37" s="14">
        <v>20</v>
      </c>
      <c r="D37" s="16">
        <v>12</v>
      </c>
      <c r="E37" s="46">
        <v>0</v>
      </c>
      <c r="F37" s="45">
        <v>0</v>
      </c>
      <c r="G37" s="68">
        <v>5</v>
      </c>
      <c r="H37" s="49">
        <v>0.85624999999999996</v>
      </c>
      <c r="I37" s="50" t="s">
        <v>68</v>
      </c>
    </row>
    <row r="38" spans="1:9" ht="28" customHeight="1">
      <c r="A38" s="13" t="s">
        <v>42</v>
      </c>
      <c r="B38" s="1" t="s">
        <v>63</v>
      </c>
      <c r="C38" s="14">
        <v>40</v>
      </c>
      <c r="D38" s="16">
        <v>11</v>
      </c>
      <c r="E38" s="46">
        <v>0</v>
      </c>
      <c r="F38" s="46">
        <v>0</v>
      </c>
      <c r="G38" s="69">
        <v>6</v>
      </c>
      <c r="H38" s="51">
        <v>0.87083333333333335</v>
      </c>
      <c r="I38" s="52" t="s">
        <v>60</v>
      </c>
    </row>
    <row r="39" spans="1:9" ht="28" customHeight="1">
      <c r="A39" s="13" t="s">
        <v>42</v>
      </c>
      <c r="B39" s="1" t="s">
        <v>62</v>
      </c>
      <c r="C39" s="14">
        <v>40</v>
      </c>
      <c r="D39" s="16">
        <v>10</v>
      </c>
      <c r="E39" s="46">
        <v>0</v>
      </c>
      <c r="F39" s="45">
        <v>0</v>
      </c>
      <c r="G39" s="68">
        <v>6</v>
      </c>
      <c r="H39" s="49">
        <v>0.87430555555555556</v>
      </c>
      <c r="I39" s="50" t="s">
        <v>65</v>
      </c>
    </row>
    <row r="40" spans="1:9" ht="28" customHeight="1">
      <c r="A40" s="13" t="s">
        <v>42</v>
      </c>
      <c r="B40" s="1" t="s">
        <v>73</v>
      </c>
      <c r="C40" s="14">
        <v>60</v>
      </c>
      <c r="D40" s="16">
        <v>9</v>
      </c>
      <c r="E40" s="46">
        <v>0</v>
      </c>
      <c r="F40" s="46">
        <v>0</v>
      </c>
      <c r="G40" s="69">
        <v>6</v>
      </c>
      <c r="H40" s="51">
        <v>0.87986111111111109</v>
      </c>
      <c r="I40" s="52" t="s">
        <v>69</v>
      </c>
    </row>
    <row r="41" spans="1:9" ht="28" customHeight="1">
      <c r="A41" s="13" t="s">
        <v>42</v>
      </c>
      <c r="B41" s="1" t="s">
        <v>66</v>
      </c>
      <c r="C41" s="14">
        <v>60</v>
      </c>
      <c r="D41" s="16">
        <v>8</v>
      </c>
      <c r="E41" s="46">
        <v>0</v>
      </c>
      <c r="F41" s="45">
        <v>0</v>
      </c>
      <c r="G41" s="68">
        <v>6</v>
      </c>
      <c r="H41" s="49">
        <v>0.88263888888888886</v>
      </c>
      <c r="I41" s="50" t="s">
        <v>64</v>
      </c>
    </row>
    <row r="42" spans="1:9" ht="28" customHeight="1">
      <c r="A42" s="13" t="s">
        <v>42</v>
      </c>
      <c r="B42" s="1" t="s">
        <v>38</v>
      </c>
      <c r="C42" s="14">
        <v>40</v>
      </c>
      <c r="D42" s="16">
        <v>7</v>
      </c>
      <c r="E42" s="46">
        <v>0</v>
      </c>
      <c r="F42" s="46">
        <v>0</v>
      </c>
      <c r="G42" s="69">
        <v>7</v>
      </c>
      <c r="H42" s="51">
        <v>0.89583333333333337</v>
      </c>
      <c r="I42" s="52" t="s">
        <v>68</v>
      </c>
    </row>
    <row r="43" spans="1:9" ht="28" customHeight="1">
      <c r="A43" s="13" t="s">
        <v>42</v>
      </c>
      <c r="B43" s="1" t="s">
        <v>69</v>
      </c>
      <c r="C43" s="14">
        <v>40</v>
      </c>
      <c r="D43" s="16">
        <v>6</v>
      </c>
      <c r="E43" s="46">
        <v>0</v>
      </c>
      <c r="F43" s="45">
        <v>0</v>
      </c>
      <c r="G43" s="68">
        <v>9</v>
      </c>
      <c r="H43" s="49">
        <v>0.92013888888888884</v>
      </c>
      <c r="I43" s="50" t="s">
        <v>65</v>
      </c>
    </row>
    <row r="44" spans="1:9" ht="28" customHeight="1">
      <c r="A44" s="13" t="s">
        <v>42</v>
      </c>
      <c r="B44" s="1" t="s">
        <v>70</v>
      </c>
      <c r="C44" s="14">
        <v>20</v>
      </c>
      <c r="D44" s="16">
        <v>5</v>
      </c>
      <c r="E44" s="46">
        <v>0</v>
      </c>
      <c r="F44" s="46">
        <v>0</v>
      </c>
      <c r="G44" s="69">
        <v>10</v>
      </c>
      <c r="H44" s="51">
        <v>0.93055555555555558</v>
      </c>
      <c r="I44" s="52" t="s">
        <v>60</v>
      </c>
    </row>
    <row r="45" spans="1:9" ht="28" customHeight="1">
      <c r="A45" s="13" t="s">
        <v>42</v>
      </c>
      <c r="B45" s="1" t="s">
        <v>64</v>
      </c>
      <c r="C45" s="14">
        <v>60</v>
      </c>
      <c r="D45" s="16">
        <v>4</v>
      </c>
      <c r="E45" s="45">
        <v>62.5</v>
      </c>
      <c r="F45" s="45">
        <v>0</v>
      </c>
      <c r="G45" s="68">
        <v>11</v>
      </c>
      <c r="H45" s="49">
        <v>0.95138888888888884</v>
      </c>
      <c r="I45" s="50" t="s">
        <v>68</v>
      </c>
    </row>
    <row r="46" spans="1:9" ht="28" customHeight="1">
      <c r="A46" s="13" t="s">
        <v>42</v>
      </c>
      <c r="B46" s="1" t="s">
        <v>60</v>
      </c>
      <c r="C46" s="14">
        <v>20</v>
      </c>
      <c r="D46" s="16">
        <v>3</v>
      </c>
      <c r="E46" s="46">
        <v>75</v>
      </c>
      <c r="F46" s="46">
        <v>0</v>
      </c>
      <c r="G46" s="69">
        <v>12</v>
      </c>
      <c r="H46" s="51">
        <v>0.95625000000000004</v>
      </c>
      <c r="I46" s="52" t="s">
        <v>68</v>
      </c>
    </row>
    <row r="47" spans="1:9" ht="28" customHeight="1">
      <c r="A47" s="13" t="s">
        <v>42</v>
      </c>
      <c r="B47" s="1" t="s">
        <v>65</v>
      </c>
      <c r="C47" s="14">
        <v>20</v>
      </c>
      <c r="D47" s="16">
        <v>2</v>
      </c>
      <c r="E47" s="45">
        <v>112.5</v>
      </c>
      <c r="F47" s="45">
        <v>0</v>
      </c>
      <c r="G47" s="68">
        <v>13</v>
      </c>
      <c r="H47" s="49">
        <v>0.96736111111111112</v>
      </c>
      <c r="I47" s="50" t="s">
        <v>68</v>
      </c>
    </row>
    <row r="48" spans="1:9" ht="28" customHeight="1">
      <c r="A48" s="13" t="s">
        <v>42</v>
      </c>
      <c r="B48" s="1" t="s">
        <v>68</v>
      </c>
      <c r="C48" s="14">
        <v>20</v>
      </c>
      <c r="D48" s="16">
        <v>1</v>
      </c>
      <c r="E48" s="46">
        <v>250</v>
      </c>
      <c r="F48" s="46">
        <v>0</v>
      </c>
      <c r="G48" s="69"/>
      <c r="H48" s="51"/>
      <c r="I48" s="52"/>
    </row>
    <row r="49" spans="1:8" ht="28" customHeight="1">
      <c r="A49" s="1" t="s">
        <v>44</v>
      </c>
      <c r="B49" s="1" t="s">
        <v>46</v>
      </c>
      <c r="C49" s="14">
        <v>50</v>
      </c>
      <c r="D49" s="16">
        <v>8</v>
      </c>
      <c r="E49" s="1">
        <v>0</v>
      </c>
      <c r="F49" s="14">
        <v>0</v>
      </c>
      <c r="G49" s="70">
        <v>4</v>
      </c>
      <c r="H49" s="66">
        <v>0.86875000000000002</v>
      </c>
    </row>
    <row r="50" spans="1:8" ht="28" customHeight="1">
      <c r="A50" s="1" t="s">
        <v>44</v>
      </c>
      <c r="B50" s="1" t="s">
        <v>69</v>
      </c>
      <c r="C50" s="14">
        <v>50</v>
      </c>
      <c r="D50" s="16">
        <v>6</v>
      </c>
      <c r="E50" s="1">
        <v>0</v>
      </c>
      <c r="F50" s="14">
        <v>0</v>
      </c>
      <c r="G50" s="70">
        <v>5</v>
      </c>
      <c r="H50" s="66">
        <v>0.88194444444444442</v>
      </c>
    </row>
    <row r="51" spans="1:8" ht="28" customHeight="1">
      <c r="A51" s="1" t="s">
        <v>44</v>
      </c>
      <c r="B51" s="1" t="s">
        <v>70</v>
      </c>
      <c r="C51" s="14">
        <v>50</v>
      </c>
      <c r="D51" s="16">
        <v>1</v>
      </c>
      <c r="E51" s="1">
        <v>375</v>
      </c>
      <c r="F51" s="14">
        <v>0</v>
      </c>
      <c r="G51" s="70"/>
    </row>
    <row r="52" spans="1:8" ht="28" customHeight="1">
      <c r="A52" s="1" t="s">
        <v>44</v>
      </c>
      <c r="B52" s="1" t="s">
        <v>73</v>
      </c>
      <c r="C52" s="14">
        <v>225</v>
      </c>
      <c r="D52" s="16">
        <v>5</v>
      </c>
      <c r="E52" s="1">
        <v>0</v>
      </c>
      <c r="F52" s="14">
        <v>0</v>
      </c>
      <c r="G52" s="70">
        <v>6</v>
      </c>
      <c r="H52" s="66">
        <v>0.8930555555555556</v>
      </c>
    </row>
    <row r="53" spans="1:8" ht="28" customHeight="1">
      <c r="A53" s="1" t="s">
        <v>44</v>
      </c>
      <c r="B53" s="1" t="s">
        <v>77</v>
      </c>
      <c r="C53" s="14">
        <v>50</v>
      </c>
      <c r="D53" s="16">
        <v>3</v>
      </c>
      <c r="E53" s="1">
        <v>62.5</v>
      </c>
      <c r="F53" s="14">
        <v>0</v>
      </c>
      <c r="G53" s="70">
        <v>11</v>
      </c>
      <c r="H53" s="66">
        <v>0.96388888888888891</v>
      </c>
    </row>
    <row r="54" spans="1:8" ht="28" customHeight="1">
      <c r="A54" s="1" t="s">
        <v>44</v>
      </c>
      <c r="B54" s="1" t="s">
        <v>38</v>
      </c>
      <c r="C54" s="14">
        <v>50</v>
      </c>
      <c r="D54" s="16">
        <v>2</v>
      </c>
      <c r="E54" s="1">
        <v>187.5</v>
      </c>
      <c r="F54" s="14">
        <v>0</v>
      </c>
      <c r="G54" s="70">
        <v>12</v>
      </c>
      <c r="H54" s="66">
        <v>0.97847222222222219</v>
      </c>
    </row>
    <row r="55" spans="1:8" ht="28" customHeight="1">
      <c r="A55" s="1" t="s">
        <v>44</v>
      </c>
      <c r="B55" s="1" t="s">
        <v>64</v>
      </c>
      <c r="C55" s="14">
        <v>50</v>
      </c>
      <c r="D55" s="16">
        <v>7</v>
      </c>
      <c r="E55" s="1">
        <v>0</v>
      </c>
      <c r="F55" s="14">
        <v>0</v>
      </c>
      <c r="G55" s="70">
        <v>5</v>
      </c>
      <c r="H55" s="66">
        <v>0.87847222222222221</v>
      </c>
    </row>
    <row r="56" spans="1:8" ht="28" customHeight="1">
      <c r="A56" s="1" t="s">
        <v>44</v>
      </c>
      <c r="B56" s="1" t="s">
        <v>62</v>
      </c>
      <c r="C56" s="14">
        <v>100</v>
      </c>
      <c r="D56" s="16">
        <v>4</v>
      </c>
      <c r="E56" s="1">
        <v>0</v>
      </c>
      <c r="F56" s="14">
        <v>0</v>
      </c>
      <c r="G56" s="70">
        <v>8</v>
      </c>
      <c r="H56" s="66">
        <v>0.92986111111111114</v>
      </c>
    </row>
  </sheetData>
  <mergeCells count="3">
    <mergeCell ref="A1:I1"/>
    <mergeCell ref="A2:I2"/>
    <mergeCell ref="A3:I3"/>
  </mergeCells>
  <dataValidations count="2">
    <dataValidation type="whole" sqref="C5:C457" xr:uid="{00000000-0002-0000-0200-000000000000}">
      <formula1>1</formula1>
      <formula2>1000000</formula2>
    </dataValidation>
    <dataValidation type="whole" sqref="F5:G457" xr:uid="{00000000-0002-0000-0200-000001000000}">
      <formula1>0</formula1>
      <formula2>1000000</formula2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6"/>
  <sheetViews>
    <sheetView showGridLines="0" workbookViewId="0">
      <selection activeCell="A26" sqref="A26"/>
    </sheetView>
  </sheetViews>
  <sheetFormatPr baseColWidth="10" defaultColWidth="8.83203125" defaultRowHeight="19" customHeight="1"/>
  <cols>
    <col min="1" max="1" width="21" style="1" customWidth="1"/>
    <col min="2" max="2" width="27" style="1" customWidth="1"/>
    <col min="3" max="3" width="24" style="1" customWidth="1"/>
    <col min="4" max="4" width="23.83203125" style="28" customWidth="1"/>
    <col min="5" max="5" width="19" style="1" customWidth="1"/>
    <col min="6" max="6" width="13" style="1" customWidth="1"/>
    <col min="7" max="7" width="13" customWidth="1"/>
    <col min="8" max="8" width="15" customWidth="1"/>
    <col min="9" max="9" width="42" style="34" customWidth="1"/>
    <col min="10" max="10" width="42" customWidth="1"/>
    <col min="11" max="16384" width="8.83203125" style="1"/>
  </cols>
  <sheetData>
    <row r="1" spans="1:9" ht="19" customHeight="1">
      <c r="A1" s="71" t="s">
        <v>80</v>
      </c>
      <c r="B1" s="71" t="s">
        <v>80</v>
      </c>
      <c r="C1" s="71" t="s">
        <v>80</v>
      </c>
      <c r="D1" s="71" t="s">
        <v>80</v>
      </c>
      <c r="E1" s="71" t="s">
        <v>80</v>
      </c>
      <c r="F1" s="71" t="s">
        <v>80</v>
      </c>
      <c r="G1" s="71" t="s">
        <v>80</v>
      </c>
      <c r="H1" s="71" t="s">
        <v>80</v>
      </c>
      <c r="I1" s="71" t="s">
        <v>80</v>
      </c>
    </row>
    <row r="2" spans="1:9" ht="19" customHeight="1">
      <c r="A2" s="72" t="s">
        <v>81</v>
      </c>
      <c r="B2" s="72" t="s">
        <v>81</v>
      </c>
      <c r="C2" s="72" t="s">
        <v>81</v>
      </c>
      <c r="D2" s="72" t="s">
        <v>81</v>
      </c>
      <c r="E2" s="72" t="s">
        <v>81</v>
      </c>
      <c r="F2" s="72" t="s">
        <v>81</v>
      </c>
      <c r="G2" s="72" t="s">
        <v>81</v>
      </c>
      <c r="H2" s="72" t="s">
        <v>81</v>
      </c>
      <c r="I2" s="72" t="s">
        <v>81</v>
      </c>
    </row>
    <row r="3" spans="1:9" ht="19" customHeight="1">
      <c r="A3" s="73" t="s">
        <v>26</v>
      </c>
      <c r="B3" s="73" t="s">
        <v>26</v>
      </c>
      <c r="C3" s="73" t="s">
        <v>26</v>
      </c>
      <c r="D3" s="73" t="s">
        <v>26</v>
      </c>
      <c r="E3" s="73" t="s">
        <v>26</v>
      </c>
      <c r="F3" s="73" t="s">
        <v>26</v>
      </c>
      <c r="G3" s="73" t="s">
        <v>26</v>
      </c>
      <c r="H3" s="73" t="s">
        <v>26</v>
      </c>
      <c r="I3" s="73" t="s">
        <v>26</v>
      </c>
    </row>
    <row r="4" spans="1:9" ht="19" customHeight="1">
      <c r="A4" s="2" t="s">
        <v>82</v>
      </c>
      <c r="B4" s="3" t="s">
        <v>28</v>
      </c>
      <c r="C4" s="3" t="s">
        <v>29</v>
      </c>
      <c r="D4" s="27" t="s">
        <v>30</v>
      </c>
      <c r="E4" s="3" t="s">
        <v>31</v>
      </c>
      <c r="F4" s="3" t="s">
        <v>32</v>
      </c>
      <c r="G4" s="3" t="s">
        <v>33</v>
      </c>
      <c r="H4" s="3" t="s">
        <v>34</v>
      </c>
      <c r="I4" s="31" t="s">
        <v>35</v>
      </c>
    </row>
    <row r="5" spans="1:9" ht="19" customHeight="1">
      <c r="A5" s="6" t="s">
        <v>83</v>
      </c>
      <c r="B5" s="6" t="s">
        <v>83</v>
      </c>
      <c r="C5" s="7" t="s">
        <v>84</v>
      </c>
      <c r="D5" s="26">
        <v>46218</v>
      </c>
      <c r="E5" s="7" t="s">
        <v>46</v>
      </c>
      <c r="F5" s="7" t="s">
        <v>39</v>
      </c>
      <c r="G5" s="62" t="s">
        <v>85</v>
      </c>
      <c r="H5" s="58">
        <v>20</v>
      </c>
      <c r="I5" s="32"/>
    </row>
    <row r="6" spans="1:9" ht="19" customHeight="1">
      <c r="A6" s="13" t="s">
        <v>86</v>
      </c>
      <c r="B6" s="13" t="s">
        <v>86</v>
      </c>
      <c r="C6" s="30" t="s">
        <v>87</v>
      </c>
      <c r="D6" s="35">
        <v>46221</v>
      </c>
      <c r="E6" s="30" t="s">
        <v>38</v>
      </c>
      <c r="F6" s="30" t="s">
        <v>39</v>
      </c>
      <c r="G6" s="62">
        <v>0.83333333333333337</v>
      </c>
      <c r="H6" s="61">
        <v>20</v>
      </c>
      <c r="I6" s="33"/>
    </row>
    <row r="7" spans="1:9" ht="19" customHeight="1">
      <c r="A7" s="13" t="s">
        <v>88</v>
      </c>
      <c r="B7" s="13" t="s">
        <v>88</v>
      </c>
      <c r="C7" s="7" t="s">
        <v>89</v>
      </c>
      <c r="D7" s="35">
        <v>46225</v>
      </c>
      <c r="E7" s="30" t="s">
        <v>46</v>
      </c>
      <c r="F7" s="30" t="s">
        <v>39</v>
      </c>
      <c r="G7" s="62">
        <v>0.83333333333333337</v>
      </c>
      <c r="H7" s="61">
        <v>20</v>
      </c>
      <c r="I7" s="33"/>
    </row>
    <row r="8" spans="1:9" ht="19" customHeight="1">
      <c r="A8" s="13" t="s">
        <v>90</v>
      </c>
      <c r="B8" s="13" t="s">
        <v>90</v>
      </c>
      <c r="C8" s="7" t="s">
        <v>91</v>
      </c>
      <c r="D8" s="35">
        <v>46232</v>
      </c>
      <c r="E8" s="30" t="s">
        <v>46</v>
      </c>
      <c r="F8" s="30" t="s">
        <v>39</v>
      </c>
      <c r="G8" s="62">
        <v>0.83333333333333337</v>
      </c>
      <c r="H8" s="61">
        <v>20</v>
      </c>
      <c r="I8" s="33"/>
    </row>
    <row r="9" spans="1:9" ht="19" customHeight="1">
      <c r="A9" s="13" t="s">
        <v>92</v>
      </c>
      <c r="B9" s="13" t="s">
        <v>92</v>
      </c>
      <c r="C9" s="1" t="s">
        <v>93</v>
      </c>
      <c r="D9" s="28">
        <v>46239</v>
      </c>
      <c r="E9" s="1" t="s">
        <v>46</v>
      </c>
      <c r="F9" s="1" t="s">
        <v>39</v>
      </c>
      <c r="G9" s="62">
        <v>0.83333333333333337</v>
      </c>
      <c r="H9" s="61">
        <v>20</v>
      </c>
    </row>
    <row r="10" spans="1:9" ht="19" customHeight="1">
      <c r="A10" s="13" t="s">
        <v>94</v>
      </c>
      <c r="B10" s="13" t="s">
        <v>94</v>
      </c>
      <c r="C10" s="1" t="s">
        <v>95</v>
      </c>
      <c r="D10" s="28">
        <v>46242</v>
      </c>
      <c r="E10" s="1" t="s">
        <v>38</v>
      </c>
      <c r="F10" s="1" t="s">
        <v>39</v>
      </c>
      <c r="G10" s="62">
        <v>0.83333333333333337</v>
      </c>
      <c r="H10" s="61">
        <v>20</v>
      </c>
    </row>
    <row r="11" spans="1:9" ht="19" customHeight="1">
      <c r="A11" s="1" t="s">
        <v>96</v>
      </c>
      <c r="B11" s="1" t="s">
        <v>96</v>
      </c>
      <c r="C11" s="1" t="s">
        <v>97</v>
      </c>
      <c r="D11" s="28">
        <v>46246</v>
      </c>
      <c r="E11" s="1" t="s">
        <v>69</v>
      </c>
      <c r="F11" s="1" t="s">
        <v>39</v>
      </c>
      <c r="G11" s="62">
        <v>0.83333333333333337</v>
      </c>
      <c r="H11" s="61">
        <v>20</v>
      </c>
    </row>
    <row r="12" spans="1:9" ht="19" customHeight="1">
      <c r="A12" s="1" t="s">
        <v>98</v>
      </c>
      <c r="B12" s="1" t="s">
        <v>98</v>
      </c>
      <c r="C12" s="1" t="s">
        <v>99</v>
      </c>
      <c r="D12" s="28">
        <v>46249</v>
      </c>
      <c r="E12" s="1" t="s">
        <v>46</v>
      </c>
      <c r="F12" s="1" t="s">
        <v>39</v>
      </c>
      <c r="G12" s="62">
        <v>0.83333333333333337</v>
      </c>
      <c r="H12" s="61">
        <v>20</v>
      </c>
    </row>
    <row r="13" spans="1:9" ht="19" customHeight="1">
      <c r="A13" s="1" t="s">
        <v>100</v>
      </c>
      <c r="B13" s="1" t="s">
        <v>100</v>
      </c>
      <c r="C13" s="1" t="s">
        <v>101</v>
      </c>
      <c r="D13" s="28">
        <v>46253</v>
      </c>
      <c r="E13" s="1" t="s">
        <v>46</v>
      </c>
      <c r="F13" s="1" t="s">
        <v>39</v>
      </c>
      <c r="G13" s="62">
        <v>0.83333333333333337</v>
      </c>
      <c r="H13" s="61">
        <v>20</v>
      </c>
    </row>
    <row r="14" spans="1:9" ht="19" customHeight="1">
      <c r="A14" s="1" t="s">
        <v>102</v>
      </c>
      <c r="B14" s="1" t="s">
        <v>102</v>
      </c>
      <c r="C14" s="1" t="s">
        <v>103</v>
      </c>
      <c r="D14" s="28">
        <v>46256</v>
      </c>
      <c r="E14" s="1" t="s">
        <v>38</v>
      </c>
      <c r="F14" s="1" t="s">
        <v>39</v>
      </c>
      <c r="G14" s="62">
        <v>0.83333333333333337</v>
      </c>
      <c r="H14" s="61">
        <v>20</v>
      </c>
    </row>
    <row r="15" spans="1:9" ht="19" customHeight="1">
      <c r="A15" s="1" t="s">
        <v>104</v>
      </c>
      <c r="B15" s="1" t="s">
        <v>104</v>
      </c>
      <c r="C15" s="1" t="s">
        <v>105</v>
      </c>
      <c r="D15" s="28">
        <v>46260</v>
      </c>
      <c r="E15" s="1" t="s">
        <v>46</v>
      </c>
      <c r="F15" s="1" t="s">
        <v>39</v>
      </c>
      <c r="G15" s="62">
        <v>0.83333333333333337</v>
      </c>
      <c r="H15" s="61">
        <v>20</v>
      </c>
    </row>
    <row r="16" spans="1:9" ht="19" customHeight="1">
      <c r="A16" s="1" t="s">
        <v>106</v>
      </c>
      <c r="B16" s="1" t="s">
        <v>106</v>
      </c>
      <c r="C16" s="1" t="s">
        <v>107</v>
      </c>
      <c r="D16" s="28">
        <v>46263</v>
      </c>
      <c r="E16" s="1" t="s">
        <v>38</v>
      </c>
      <c r="F16" s="1" t="s">
        <v>39</v>
      </c>
      <c r="G16" s="62">
        <v>0.83333333333333337</v>
      </c>
      <c r="H16" s="61">
        <v>20</v>
      </c>
    </row>
    <row r="17" spans="1:8" ht="19" customHeight="1">
      <c r="A17" s="1" t="s">
        <v>153</v>
      </c>
      <c r="B17" s="1" t="s">
        <v>153</v>
      </c>
      <c r="C17" s="1" t="s">
        <v>154</v>
      </c>
      <c r="D17" s="28">
        <v>46267</v>
      </c>
      <c r="E17" s="1" t="s">
        <v>46</v>
      </c>
      <c r="F17" s="1" t="s">
        <v>39</v>
      </c>
      <c r="G17" s="62">
        <v>0.83333333333333337</v>
      </c>
      <c r="H17" s="61">
        <v>20</v>
      </c>
    </row>
    <row r="18" spans="1:8" ht="19" customHeight="1">
      <c r="A18" s="1" t="s">
        <v>156</v>
      </c>
      <c r="B18" s="1" t="s">
        <v>156</v>
      </c>
      <c r="C18" s="1" t="s">
        <v>157</v>
      </c>
      <c r="D18" s="28">
        <v>46275</v>
      </c>
      <c r="E18" s="1" t="s">
        <v>46</v>
      </c>
      <c r="F18" s="1" t="s">
        <v>39</v>
      </c>
      <c r="G18" s="62">
        <v>0.83333333333333337</v>
      </c>
      <c r="H18" s="61">
        <v>20</v>
      </c>
    </row>
    <row r="19" spans="1:8" ht="19" customHeight="1">
      <c r="A19" s="1" t="s">
        <v>158</v>
      </c>
      <c r="B19" s="1" t="s">
        <v>158</v>
      </c>
      <c r="C19" s="1" t="s">
        <v>160</v>
      </c>
      <c r="D19" s="28">
        <v>46277</v>
      </c>
      <c r="E19" s="1" t="s">
        <v>69</v>
      </c>
      <c r="F19" s="1" t="s">
        <v>39</v>
      </c>
      <c r="G19" s="62">
        <v>0.83333333333333337</v>
      </c>
      <c r="H19" s="61">
        <v>20</v>
      </c>
    </row>
    <row r="20" spans="1:8" ht="19" customHeight="1">
      <c r="A20" s="1" t="s">
        <v>159</v>
      </c>
      <c r="B20" s="1" t="s">
        <v>159</v>
      </c>
      <c r="C20" s="1" t="s">
        <v>161</v>
      </c>
      <c r="D20" s="28">
        <v>46281</v>
      </c>
      <c r="E20" s="1" t="s">
        <v>69</v>
      </c>
      <c r="F20" s="1" t="s">
        <v>39</v>
      </c>
      <c r="G20" s="62">
        <v>0.83333333333333337</v>
      </c>
      <c r="H20" s="61">
        <v>20</v>
      </c>
    </row>
    <row r="21" spans="1:8" ht="19" customHeight="1">
      <c r="A21" s="1" t="s">
        <v>162</v>
      </c>
      <c r="B21" s="1" t="s">
        <v>162</v>
      </c>
      <c r="C21" s="1" t="s">
        <v>163</v>
      </c>
      <c r="D21" s="28">
        <v>46284</v>
      </c>
      <c r="E21" s="1" t="s">
        <v>38</v>
      </c>
      <c r="F21" s="1" t="s">
        <v>39</v>
      </c>
      <c r="G21" s="62">
        <v>0.83333333333333337</v>
      </c>
      <c r="H21" s="61">
        <v>20</v>
      </c>
    </row>
    <row r="22" spans="1:8" ht="19" customHeight="1">
      <c r="A22" s="1" t="s">
        <v>164</v>
      </c>
      <c r="B22" s="1" t="s">
        <v>164</v>
      </c>
      <c r="C22" s="1" t="s">
        <v>165</v>
      </c>
      <c r="D22" s="28">
        <v>46288</v>
      </c>
      <c r="E22" s="1" t="s">
        <v>46</v>
      </c>
      <c r="F22" s="1" t="s">
        <v>39</v>
      </c>
      <c r="G22" s="62">
        <v>0.83333333333333337</v>
      </c>
      <c r="H22" s="61">
        <v>20</v>
      </c>
    </row>
    <row r="23" spans="1:8" ht="19" customHeight="1">
      <c r="A23" s="1" t="s">
        <v>167</v>
      </c>
      <c r="B23" s="1" t="s">
        <v>167</v>
      </c>
      <c r="C23" s="1" t="s">
        <v>168</v>
      </c>
      <c r="D23" s="28">
        <v>46291</v>
      </c>
      <c r="E23" s="1" t="s">
        <v>38</v>
      </c>
      <c r="F23" s="1" t="s">
        <v>39</v>
      </c>
      <c r="G23" s="62">
        <v>0.83333333333333337</v>
      </c>
      <c r="H23" s="61">
        <v>20</v>
      </c>
    </row>
    <row r="24" spans="1:8" ht="19" customHeight="1">
      <c r="A24" s="1" t="s">
        <v>169</v>
      </c>
      <c r="B24" s="1" t="s">
        <v>169</v>
      </c>
      <c r="C24" s="1" t="s">
        <v>170</v>
      </c>
      <c r="D24" s="28">
        <v>46295</v>
      </c>
      <c r="E24" s="1" t="s">
        <v>46</v>
      </c>
      <c r="F24" s="1" t="s">
        <v>39</v>
      </c>
      <c r="G24" s="62">
        <v>0.83333333333333337</v>
      </c>
      <c r="H24" s="65">
        <v>20</v>
      </c>
    </row>
    <row r="25" spans="1:8" ht="19" customHeight="1">
      <c r="A25" s="1" t="s">
        <v>171</v>
      </c>
      <c r="B25" s="1" t="s">
        <v>171</v>
      </c>
      <c r="C25" s="1" t="s">
        <v>172</v>
      </c>
      <c r="D25" s="28">
        <v>46298</v>
      </c>
      <c r="E25" s="1" t="s">
        <v>38</v>
      </c>
      <c r="F25" s="1" t="s">
        <v>39</v>
      </c>
      <c r="G25" s="62">
        <v>0.83333333333333337</v>
      </c>
      <c r="H25" s="65">
        <v>20</v>
      </c>
    </row>
    <row r="26" spans="1:8" ht="19" customHeight="1">
      <c r="A26" s="1" t="s">
        <v>175</v>
      </c>
      <c r="B26" s="1" t="s">
        <v>175</v>
      </c>
      <c r="C26" s="1" t="s">
        <v>176</v>
      </c>
      <c r="D26" s="28">
        <v>46302</v>
      </c>
      <c r="E26" s="1" t="s">
        <v>69</v>
      </c>
      <c r="F26" s="1" t="s">
        <v>39</v>
      </c>
      <c r="G26" s="62">
        <v>0.83333333333333337</v>
      </c>
      <c r="H26" s="65">
        <v>20</v>
      </c>
    </row>
  </sheetData>
  <mergeCells count="3">
    <mergeCell ref="A1:I1"/>
    <mergeCell ref="A2:I2"/>
    <mergeCell ref="A3:I3"/>
  </mergeCells>
  <conditionalFormatting sqref="F5:F500">
    <cfRule type="containsText" dxfId="1" priority="2" operator="containsText" text="upcoming"/>
  </conditionalFormatting>
  <conditionalFormatting sqref="G5:G199">
    <cfRule type="containsText" dxfId="0" priority="1" operator="containsText" text="upcoming"/>
  </conditionalFormatting>
  <dataValidations count="2">
    <dataValidation type="list" sqref="F5:F26 G5:G199" xr:uid="{00000000-0002-0000-0300-000000000000}">
      <formula1>"completed,upcoming"</formula1>
    </dataValidation>
    <dataValidation type="whole" sqref="I5:I199" xr:uid="{00000000-0002-0000-0300-000001000000}">
      <formula1>1</formula1>
      <formula2>1000000</formula2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84"/>
  <sheetViews>
    <sheetView showGridLines="0" tabSelected="1" topLeftCell="A161" workbookViewId="0">
      <selection activeCell="F179" sqref="F179"/>
    </sheetView>
  </sheetViews>
  <sheetFormatPr baseColWidth="10" defaultColWidth="8.83203125" defaultRowHeight="25" customHeight="1"/>
  <cols>
    <col min="1" max="1" width="33.83203125" style="1" customWidth="1"/>
    <col min="2" max="2" width="22.5" style="1" customWidth="1"/>
    <col min="3" max="3" width="21.1640625" style="14" customWidth="1"/>
    <col min="4" max="4" width="20.33203125" style="14" customWidth="1"/>
    <col min="5" max="16384" width="8.83203125" style="1"/>
  </cols>
  <sheetData>
    <row r="1" spans="1:4" ht="25" customHeight="1">
      <c r="A1" s="82" t="s">
        <v>108</v>
      </c>
      <c r="B1" s="82"/>
      <c r="C1" s="82"/>
      <c r="D1" s="82"/>
    </row>
    <row r="2" spans="1:4" ht="25" customHeight="1">
      <c r="A2" s="84" t="s">
        <v>109</v>
      </c>
      <c r="B2" s="84"/>
      <c r="C2" s="84"/>
      <c r="D2" s="84"/>
    </row>
    <row r="3" spans="1:4" ht="25" customHeight="1">
      <c r="A3" s="87" t="s">
        <v>110</v>
      </c>
      <c r="B3" s="87"/>
      <c r="C3" s="87"/>
      <c r="D3" s="87"/>
    </row>
    <row r="4" spans="1:4" ht="25" customHeight="1">
      <c r="A4" s="2" t="s">
        <v>82</v>
      </c>
      <c r="B4" s="3" t="s">
        <v>50</v>
      </c>
      <c r="C4" s="4" t="s">
        <v>111</v>
      </c>
      <c r="D4" s="5" t="s">
        <v>112</v>
      </c>
    </row>
    <row r="5" spans="1:4" ht="25" customHeight="1">
      <c r="A5" s="6" t="s">
        <v>83</v>
      </c>
      <c r="B5" s="7" t="s">
        <v>46</v>
      </c>
      <c r="C5" s="8">
        <v>40</v>
      </c>
      <c r="D5" s="9">
        <v>65</v>
      </c>
    </row>
    <row r="6" spans="1:4" ht="25" customHeight="1">
      <c r="A6" s="6" t="s">
        <v>83</v>
      </c>
      <c r="B6" s="10" t="s">
        <v>69</v>
      </c>
      <c r="C6" s="11">
        <v>40</v>
      </c>
      <c r="D6" s="12">
        <v>41.25</v>
      </c>
    </row>
    <row r="7" spans="1:4" ht="25" customHeight="1">
      <c r="A7" s="6" t="s">
        <v>83</v>
      </c>
      <c r="B7" s="10" t="s">
        <v>61</v>
      </c>
      <c r="C7" s="11">
        <v>20</v>
      </c>
      <c r="D7" s="12">
        <v>42.75</v>
      </c>
    </row>
    <row r="8" spans="1:4" ht="25" customHeight="1">
      <c r="A8" s="6" t="s">
        <v>83</v>
      </c>
      <c r="B8" s="10" t="s">
        <v>63</v>
      </c>
      <c r="C8" s="11">
        <v>40</v>
      </c>
      <c r="D8" s="12">
        <v>48.55</v>
      </c>
    </row>
    <row r="9" spans="1:4" ht="25" customHeight="1">
      <c r="A9" s="6" t="s">
        <v>83</v>
      </c>
      <c r="B9" s="10" t="s">
        <v>62</v>
      </c>
      <c r="C9" s="11">
        <v>60</v>
      </c>
      <c r="D9" s="12">
        <v>23.25</v>
      </c>
    </row>
    <row r="10" spans="1:4" ht="25" customHeight="1">
      <c r="A10" s="6" t="s">
        <v>83</v>
      </c>
      <c r="B10" s="10" t="s">
        <v>70</v>
      </c>
      <c r="C10" s="11">
        <v>60</v>
      </c>
      <c r="D10" s="12">
        <v>23.3</v>
      </c>
    </row>
    <row r="11" spans="1:4" ht="25" customHeight="1">
      <c r="A11" s="13" t="s">
        <v>83</v>
      </c>
      <c r="B11" s="1" t="s">
        <v>38</v>
      </c>
      <c r="C11" s="14">
        <v>20</v>
      </c>
      <c r="D11" s="14">
        <v>11.7</v>
      </c>
    </row>
    <row r="12" spans="1:4" ht="25" customHeight="1">
      <c r="A12" s="13" t="s">
        <v>83</v>
      </c>
      <c r="B12" s="1" t="s">
        <v>66</v>
      </c>
      <c r="C12" s="14">
        <v>20</v>
      </c>
      <c r="D12" s="14">
        <v>33.5</v>
      </c>
    </row>
    <row r="13" spans="1:4" ht="25" customHeight="1">
      <c r="A13" s="13" t="s">
        <v>83</v>
      </c>
      <c r="B13" s="1" t="s">
        <v>67</v>
      </c>
      <c r="C13" s="14">
        <v>20</v>
      </c>
      <c r="D13" s="14">
        <v>30.05</v>
      </c>
    </row>
    <row r="14" spans="1:4" ht="25" customHeight="1">
      <c r="A14" s="13" t="s">
        <v>86</v>
      </c>
      <c r="B14" s="1" t="s">
        <v>38</v>
      </c>
      <c r="C14" s="14">
        <v>20</v>
      </c>
      <c r="D14" s="14">
        <v>22.5</v>
      </c>
    </row>
    <row r="15" spans="1:4" ht="25" customHeight="1">
      <c r="A15" s="13" t="s">
        <v>86</v>
      </c>
      <c r="B15" s="1" t="s">
        <v>69</v>
      </c>
      <c r="C15" s="14">
        <v>100</v>
      </c>
      <c r="D15" s="14">
        <v>40.6</v>
      </c>
    </row>
    <row r="16" spans="1:4" ht="25" customHeight="1">
      <c r="A16" s="13" t="s">
        <v>86</v>
      </c>
      <c r="B16" s="1" t="s">
        <v>78</v>
      </c>
      <c r="C16" s="14">
        <v>50</v>
      </c>
      <c r="D16" s="14">
        <v>0</v>
      </c>
    </row>
    <row r="17" spans="1:4" ht="25" customHeight="1">
      <c r="A17" s="13" t="s">
        <v>86</v>
      </c>
      <c r="B17" s="1" t="s">
        <v>46</v>
      </c>
      <c r="C17" s="14">
        <v>40</v>
      </c>
      <c r="D17" s="14">
        <v>53</v>
      </c>
    </row>
    <row r="18" spans="1:4" ht="25" customHeight="1">
      <c r="A18" s="13" t="s">
        <v>86</v>
      </c>
      <c r="B18" s="1" t="s">
        <v>70</v>
      </c>
      <c r="C18" s="14">
        <v>20</v>
      </c>
      <c r="D18" s="14">
        <v>143.9</v>
      </c>
    </row>
    <row r="19" spans="1:4" ht="25" customHeight="1">
      <c r="A19" s="13" t="s">
        <v>86</v>
      </c>
      <c r="B19" s="1" t="s">
        <v>62</v>
      </c>
      <c r="C19" s="14">
        <v>20</v>
      </c>
      <c r="D19" s="14">
        <v>31.3</v>
      </c>
    </row>
    <row r="20" spans="1:4" ht="25" customHeight="1">
      <c r="A20" s="13" t="s">
        <v>86</v>
      </c>
      <c r="B20" s="1" t="s">
        <v>61</v>
      </c>
      <c r="C20" s="14">
        <v>60</v>
      </c>
      <c r="D20" s="14">
        <v>0</v>
      </c>
    </row>
    <row r="21" spans="1:4" ht="25" customHeight="1">
      <c r="A21" s="13" t="s">
        <v>86</v>
      </c>
      <c r="B21" s="1" t="s">
        <v>63</v>
      </c>
      <c r="C21" s="14">
        <v>120</v>
      </c>
      <c r="D21" s="14">
        <v>148.9</v>
      </c>
    </row>
    <row r="22" spans="1:4" ht="25" customHeight="1">
      <c r="A22" s="13" t="s">
        <v>88</v>
      </c>
      <c r="B22" s="1" t="s">
        <v>46</v>
      </c>
      <c r="C22" s="14">
        <v>40</v>
      </c>
      <c r="D22" s="14">
        <v>73.75</v>
      </c>
    </row>
    <row r="23" spans="1:4" ht="25" customHeight="1">
      <c r="A23" s="13" t="s">
        <v>88</v>
      </c>
      <c r="B23" s="1" t="s">
        <v>70</v>
      </c>
      <c r="C23" s="14">
        <v>60</v>
      </c>
      <c r="D23" s="14">
        <v>19</v>
      </c>
    </row>
    <row r="24" spans="1:4" ht="25" customHeight="1">
      <c r="A24" s="13" t="s">
        <v>88</v>
      </c>
      <c r="B24" s="1" t="s">
        <v>62</v>
      </c>
      <c r="C24" s="14">
        <v>20</v>
      </c>
      <c r="D24" s="14">
        <v>74.5</v>
      </c>
    </row>
    <row r="25" spans="1:4" ht="25" customHeight="1">
      <c r="A25" s="13" t="s">
        <v>88</v>
      </c>
      <c r="B25" s="1" t="s">
        <v>69</v>
      </c>
      <c r="C25" s="14">
        <v>100</v>
      </c>
      <c r="D25" s="14">
        <v>15.75</v>
      </c>
    </row>
    <row r="26" spans="1:4" ht="25" customHeight="1">
      <c r="A26" s="13" t="s">
        <v>88</v>
      </c>
      <c r="B26" s="1" t="s">
        <v>66</v>
      </c>
      <c r="C26" s="14">
        <v>40</v>
      </c>
      <c r="D26" s="14">
        <v>23.25</v>
      </c>
    </row>
    <row r="27" spans="1:4" ht="25" customHeight="1">
      <c r="A27" s="13" t="s">
        <v>88</v>
      </c>
      <c r="B27" s="1" t="s">
        <v>38</v>
      </c>
      <c r="C27" s="14">
        <v>20</v>
      </c>
      <c r="D27" s="14">
        <v>21.75</v>
      </c>
    </row>
    <row r="28" spans="1:4" ht="25" customHeight="1">
      <c r="A28" s="13" t="s">
        <v>88</v>
      </c>
      <c r="B28" s="1" t="s">
        <v>67</v>
      </c>
      <c r="C28" s="14">
        <v>20</v>
      </c>
      <c r="D28" s="14">
        <v>30.25</v>
      </c>
    </row>
    <row r="29" spans="1:4" ht="25" customHeight="1">
      <c r="A29" s="13" t="s">
        <v>88</v>
      </c>
      <c r="B29" s="1" t="s">
        <v>61</v>
      </c>
      <c r="C29" s="14">
        <v>20</v>
      </c>
      <c r="D29" s="14">
        <v>34.25</v>
      </c>
    </row>
    <row r="30" spans="1:4" ht="25" customHeight="1">
      <c r="A30" s="13" t="s">
        <v>88</v>
      </c>
      <c r="B30" s="1" t="s">
        <v>63</v>
      </c>
      <c r="C30" s="14">
        <v>20</v>
      </c>
      <c r="D30" s="14">
        <v>47.5</v>
      </c>
    </row>
    <row r="31" spans="1:4" ht="25" customHeight="1">
      <c r="A31" s="13" t="s">
        <v>90</v>
      </c>
      <c r="B31" s="1" t="s">
        <v>46</v>
      </c>
      <c r="C31" s="14">
        <v>40</v>
      </c>
      <c r="D31" s="14">
        <v>20</v>
      </c>
    </row>
    <row r="32" spans="1:4" ht="25" customHeight="1">
      <c r="A32" s="13" t="s">
        <v>90</v>
      </c>
      <c r="B32" s="1" t="s">
        <v>69</v>
      </c>
      <c r="C32" s="14">
        <v>30</v>
      </c>
      <c r="D32" s="14">
        <v>33</v>
      </c>
    </row>
    <row r="33" spans="1:4" ht="25" customHeight="1">
      <c r="A33" s="13" t="s">
        <v>90</v>
      </c>
      <c r="B33" s="1" t="s">
        <v>61</v>
      </c>
      <c r="C33" s="14">
        <v>60</v>
      </c>
      <c r="D33" s="14">
        <v>47.75</v>
      </c>
    </row>
    <row r="34" spans="1:4" ht="25" customHeight="1">
      <c r="A34" s="13" t="s">
        <v>90</v>
      </c>
      <c r="B34" s="1" t="s">
        <v>63</v>
      </c>
      <c r="C34" s="14">
        <v>60</v>
      </c>
      <c r="D34" s="14">
        <v>45</v>
      </c>
    </row>
    <row r="35" spans="1:4" ht="25" customHeight="1">
      <c r="A35" s="13" t="s">
        <v>90</v>
      </c>
      <c r="B35" s="1" t="s">
        <v>38</v>
      </c>
      <c r="C35" s="14">
        <v>20</v>
      </c>
      <c r="D35" s="14">
        <v>24.25</v>
      </c>
    </row>
    <row r="36" spans="1:4" ht="25" customHeight="1">
      <c r="A36" s="13" t="s">
        <v>90</v>
      </c>
      <c r="B36" s="1" t="s">
        <v>62</v>
      </c>
      <c r="C36" s="14">
        <v>20</v>
      </c>
      <c r="D36" s="14">
        <v>48.25</v>
      </c>
    </row>
    <row r="37" spans="1:4" ht="25" customHeight="1">
      <c r="A37" s="13" t="s">
        <v>90</v>
      </c>
      <c r="B37" s="1" t="s">
        <v>70</v>
      </c>
      <c r="C37" s="14">
        <v>60</v>
      </c>
      <c r="D37" s="14">
        <v>18.5</v>
      </c>
    </row>
    <row r="38" spans="1:4" ht="25" customHeight="1">
      <c r="A38" s="13" t="s">
        <v>90</v>
      </c>
      <c r="B38" s="1" t="s">
        <v>67</v>
      </c>
      <c r="C38" s="14">
        <v>20</v>
      </c>
      <c r="D38" s="14">
        <v>73.25</v>
      </c>
    </row>
    <row r="39" spans="1:4" ht="25" customHeight="1">
      <c r="A39" s="13" t="s">
        <v>92</v>
      </c>
      <c r="B39" s="1" t="s">
        <v>63</v>
      </c>
      <c r="C39" s="14">
        <v>20</v>
      </c>
      <c r="D39" s="14">
        <v>30.75</v>
      </c>
    </row>
    <row r="40" spans="1:4" ht="25" customHeight="1">
      <c r="A40" s="13" t="s">
        <v>92</v>
      </c>
      <c r="B40" s="1" t="s">
        <v>61</v>
      </c>
      <c r="C40" s="14">
        <v>20</v>
      </c>
      <c r="D40" s="14">
        <v>61.5</v>
      </c>
    </row>
    <row r="41" spans="1:4" ht="25" customHeight="1">
      <c r="A41" s="13" t="s">
        <v>92</v>
      </c>
      <c r="B41" s="1" t="s">
        <v>46</v>
      </c>
      <c r="C41" s="14">
        <v>70</v>
      </c>
      <c r="D41" s="14">
        <v>29.25</v>
      </c>
    </row>
    <row r="42" spans="1:4" ht="25" customHeight="1">
      <c r="A42" s="13" t="s">
        <v>92</v>
      </c>
      <c r="B42" s="1" t="s">
        <v>113</v>
      </c>
      <c r="C42" s="14">
        <v>20</v>
      </c>
      <c r="D42" s="14">
        <v>23.75</v>
      </c>
    </row>
    <row r="43" spans="1:4" ht="25" customHeight="1">
      <c r="A43" s="13" t="s">
        <v>92</v>
      </c>
      <c r="B43" s="1" t="s">
        <v>66</v>
      </c>
      <c r="C43" s="14">
        <v>70</v>
      </c>
      <c r="D43" s="14">
        <v>0</v>
      </c>
    </row>
    <row r="44" spans="1:4" ht="25" customHeight="1">
      <c r="A44" s="13" t="s">
        <v>92</v>
      </c>
      <c r="B44" s="1" t="s">
        <v>69</v>
      </c>
      <c r="C44" s="14">
        <v>20</v>
      </c>
      <c r="D44" s="14">
        <v>42.75</v>
      </c>
    </row>
    <row r="45" spans="1:4" ht="25" customHeight="1">
      <c r="A45" s="13" t="s">
        <v>92</v>
      </c>
      <c r="B45" s="1" t="s">
        <v>38</v>
      </c>
      <c r="C45" s="14">
        <v>20</v>
      </c>
      <c r="D45" s="14">
        <v>31.5</v>
      </c>
    </row>
    <row r="46" spans="1:4" ht="25" customHeight="1">
      <c r="A46" s="13" t="s">
        <v>92</v>
      </c>
      <c r="B46" s="1" t="s">
        <v>70</v>
      </c>
      <c r="C46" s="14">
        <v>40</v>
      </c>
      <c r="D46" s="14">
        <v>0</v>
      </c>
    </row>
    <row r="47" spans="1:4" ht="25" customHeight="1">
      <c r="A47" s="13" t="s">
        <v>92</v>
      </c>
      <c r="B47" s="1" t="s">
        <v>62</v>
      </c>
      <c r="C47" s="14">
        <v>20</v>
      </c>
      <c r="D47" s="14">
        <v>73.75</v>
      </c>
    </row>
    <row r="48" spans="1:4" ht="25" customHeight="1">
      <c r="A48" s="13" t="s">
        <v>92</v>
      </c>
      <c r="B48" s="1" t="s">
        <v>58</v>
      </c>
      <c r="C48" s="14">
        <v>30</v>
      </c>
      <c r="D48" s="14">
        <v>36.75</v>
      </c>
    </row>
    <row r="49" spans="1:4" ht="25" customHeight="1">
      <c r="A49" s="13" t="s">
        <v>94</v>
      </c>
      <c r="B49" s="1" t="s">
        <v>69</v>
      </c>
      <c r="C49" s="14">
        <v>20</v>
      </c>
      <c r="D49" s="14">
        <v>10.4</v>
      </c>
    </row>
    <row r="50" spans="1:4" ht="25" customHeight="1">
      <c r="A50" s="13" t="s">
        <v>94</v>
      </c>
      <c r="B50" s="1" t="s">
        <v>66</v>
      </c>
      <c r="C50" s="14">
        <v>40</v>
      </c>
      <c r="D50" s="14">
        <v>0</v>
      </c>
    </row>
    <row r="51" spans="1:4" ht="25" customHeight="1">
      <c r="A51" s="13" t="s">
        <v>94</v>
      </c>
      <c r="B51" s="1" t="s">
        <v>38</v>
      </c>
      <c r="C51" s="14">
        <v>20</v>
      </c>
      <c r="D51" s="14">
        <v>42.5</v>
      </c>
    </row>
    <row r="52" spans="1:4" ht="25" customHeight="1">
      <c r="A52" s="13" t="s">
        <v>94</v>
      </c>
      <c r="B52" s="1" t="s">
        <v>70</v>
      </c>
      <c r="C52" s="14">
        <v>20</v>
      </c>
      <c r="D52" s="14">
        <v>0</v>
      </c>
    </row>
    <row r="53" spans="1:4" ht="25" customHeight="1">
      <c r="A53" s="13" t="s">
        <v>94</v>
      </c>
      <c r="B53" s="1" t="s">
        <v>62</v>
      </c>
      <c r="C53" s="14">
        <v>20</v>
      </c>
      <c r="D53" s="14">
        <v>0</v>
      </c>
    </row>
    <row r="54" spans="1:4" ht="25" customHeight="1">
      <c r="A54" s="13" t="s">
        <v>94</v>
      </c>
      <c r="B54" s="1" t="s">
        <v>63</v>
      </c>
      <c r="C54" s="14">
        <v>20</v>
      </c>
      <c r="D54" s="14">
        <v>61.9</v>
      </c>
    </row>
    <row r="55" spans="1:4" ht="25" customHeight="1">
      <c r="A55" s="13" t="s">
        <v>94</v>
      </c>
      <c r="B55" s="1" t="s">
        <v>46</v>
      </c>
      <c r="C55" s="14">
        <v>20</v>
      </c>
      <c r="D55" s="14">
        <v>19.899999999999999</v>
      </c>
    </row>
    <row r="56" spans="1:4" ht="25" customHeight="1">
      <c r="A56" s="13" t="s">
        <v>94</v>
      </c>
      <c r="B56" s="1" t="s">
        <v>61</v>
      </c>
      <c r="C56" s="14">
        <v>20</v>
      </c>
      <c r="D56" s="14">
        <v>45.3</v>
      </c>
    </row>
    <row r="57" spans="1:4" ht="25" customHeight="1">
      <c r="A57" s="1" t="s">
        <v>96</v>
      </c>
      <c r="B57" s="1" t="s">
        <v>69</v>
      </c>
      <c r="C57" s="14">
        <v>55</v>
      </c>
      <c r="D57" s="14">
        <v>38.200000000000003</v>
      </c>
    </row>
    <row r="58" spans="1:4" ht="25" customHeight="1">
      <c r="A58" s="1" t="s">
        <v>96</v>
      </c>
      <c r="B58" s="1" t="s">
        <v>70</v>
      </c>
      <c r="C58" s="14">
        <v>20</v>
      </c>
      <c r="D58" s="14">
        <v>34.200000000000003</v>
      </c>
    </row>
    <row r="59" spans="1:4" ht="25" customHeight="1">
      <c r="A59" s="1" t="s">
        <v>96</v>
      </c>
      <c r="B59" s="1" t="s">
        <v>62</v>
      </c>
      <c r="C59" s="14">
        <v>20</v>
      </c>
      <c r="D59" s="14">
        <v>37.700000000000003</v>
      </c>
    </row>
    <row r="60" spans="1:4" ht="25" customHeight="1">
      <c r="A60" s="1" t="s">
        <v>96</v>
      </c>
      <c r="B60" s="1" t="s">
        <v>38</v>
      </c>
      <c r="C60" s="14">
        <v>40</v>
      </c>
      <c r="D60" s="14">
        <v>25.4</v>
      </c>
    </row>
    <row r="61" spans="1:4" ht="25" customHeight="1">
      <c r="A61" s="1" t="s">
        <v>96</v>
      </c>
      <c r="B61" s="1" t="s">
        <v>63</v>
      </c>
      <c r="C61" s="14">
        <v>20</v>
      </c>
      <c r="D61" s="14">
        <v>25.3</v>
      </c>
    </row>
    <row r="62" spans="1:4" ht="25" customHeight="1">
      <c r="A62" s="1" t="s">
        <v>96</v>
      </c>
      <c r="B62" s="1" t="s">
        <v>61</v>
      </c>
      <c r="C62" s="14">
        <v>40</v>
      </c>
      <c r="D62" s="14">
        <v>0</v>
      </c>
    </row>
    <row r="63" spans="1:4" ht="25" customHeight="1">
      <c r="A63" s="1" t="s">
        <v>96</v>
      </c>
      <c r="B63" s="1" t="s">
        <v>114</v>
      </c>
      <c r="C63" s="14">
        <v>20</v>
      </c>
      <c r="D63" s="14">
        <v>47.8</v>
      </c>
    </row>
    <row r="64" spans="1:4" ht="25" customHeight="1">
      <c r="A64" s="1" t="s">
        <v>96</v>
      </c>
      <c r="B64" s="1" t="s">
        <v>66</v>
      </c>
      <c r="C64" s="14">
        <v>20</v>
      </c>
      <c r="D64" s="14">
        <v>26.4</v>
      </c>
    </row>
    <row r="65" spans="1:4" ht="25" customHeight="1">
      <c r="A65" s="1" t="s">
        <v>98</v>
      </c>
      <c r="B65" s="1" t="s">
        <v>46</v>
      </c>
      <c r="C65" s="14">
        <v>60</v>
      </c>
      <c r="D65" s="14">
        <v>23.5</v>
      </c>
    </row>
    <row r="66" spans="1:4" ht="25" customHeight="1">
      <c r="A66" s="1" t="s">
        <v>98</v>
      </c>
      <c r="B66" s="1" t="s">
        <v>69</v>
      </c>
      <c r="C66" s="14">
        <v>30</v>
      </c>
      <c r="D66" s="14">
        <v>43.75</v>
      </c>
    </row>
    <row r="67" spans="1:4" ht="25" customHeight="1">
      <c r="A67" s="1" t="s">
        <v>98</v>
      </c>
      <c r="B67" s="1" t="s">
        <v>70</v>
      </c>
      <c r="C67" s="14">
        <v>40</v>
      </c>
      <c r="D67" s="14">
        <v>52.5</v>
      </c>
    </row>
    <row r="68" spans="1:4" ht="25" customHeight="1">
      <c r="A68" s="1" t="s">
        <v>98</v>
      </c>
      <c r="B68" s="1" t="s">
        <v>62</v>
      </c>
      <c r="C68" s="14">
        <v>20</v>
      </c>
      <c r="D68" s="14">
        <v>21.25</v>
      </c>
    </row>
    <row r="69" spans="1:4" ht="25" customHeight="1">
      <c r="A69" s="1" t="s">
        <v>98</v>
      </c>
      <c r="B69" s="1" t="s">
        <v>67</v>
      </c>
      <c r="C69" s="14">
        <v>20</v>
      </c>
      <c r="D69" s="14">
        <v>75.25</v>
      </c>
    </row>
    <row r="70" spans="1:4" ht="25" customHeight="1">
      <c r="A70" s="1" t="s">
        <v>98</v>
      </c>
      <c r="B70" s="1" t="s">
        <v>115</v>
      </c>
      <c r="C70" s="14">
        <v>20</v>
      </c>
      <c r="D70" s="14">
        <v>0</v>
      </c>
    </row>
    <row r="71" spans="1:4" ht="25" customHeight="1">
      <c r="A71" s="1" t="s">
        <v>98</v>
      </c>
      <c r="B71" s="1" t="s">
        <v>66</v>
      </c>
      <c r="C71" s="14">
        <v>20</v>
      </c>
      <c r="D71" s="14">
        <v>0</v>
      </c>
    </row>
    <row r="72" spans="1:4" ht="25" customHeight="1">
      <c r="A72" s="1" t="s">
        <v>98</v>
      </c>
      <c r="B72" s="1" t="s">
        <v>61</v>
      </c>
      <c r="C72" s="14">
        <v>40</v>
      </c>
      <c r="D72" s="14">
        <v>24.25</v>
      </c>
    </row>
    <row r="73" spans="1:4" ht="25" customHeight="1">
      <c r="A73" s="1" t="s">
        <v>98</v>
      </c>
      <c r="B73" s="1" t="s">
        <v>64</v>
      </c>
      <c r="C73" s="14">
        <v>20</v>
      </c>
      <c r="D73" s="14">
        <v>69.5</v>
      </c>
    </row>
    <row r="74" spans="1:4" ht="25" customHeight="1">
      <c r="A74" s="1" t="s">
        <v>98</v>
      </c>
      <c r="B74" s="1" t="s">
        <v>63</v>
      </c>
      <c r="C74" s="14">
        <v>40</v>
      </c>
      <c r="D74" s="14">
        <v>0</v>
      </c>
    </row>
    <row r="75" spans="1:4" ht="25" customHeight="1">
      <c r="A75" s="1" t="s">
        <v>100</v>
      </c>
      <c r="B75" s="1" t="s">
        <v>46</v>
      </c>
      <c r="C75" s="14">
        <v>30</v>
      </c>
      <c r="D75" s="14">
        <v>34</v>
      </c>
    </row>
    <row r="76" spans="1:4" ht="25" customHeight="1">
      <c r="A76" s="1" t="s">
        <v>100</v>
      </c>
      <c r="B76" s="1" t="s">
        <v>114</v>
      </c>
      <c r="C76" s="14">
        <v>30</v>
      </c>
      <c r="D76" s="14">
        <v>0</v>
      </c>
    </row>
    <row r="77" spans="1:4" ht="25" customHeight="1">
      <c r="A77" s="1" t="s">
        <v>100</v>
      </c>
      <c r="B77" s="1" t="s">
        <v>61</v>
      </c>
      <c r="C77" s="14">
        <v>20</v>
      </c>
      <c r="D77" s="14">
        <v>76.5</v>
      </c>
    </row>
    <row r="78" spans="1:4" ht="25" customHeight="1">
      <c r="A78" s="1" t="s">
        <v>100</v>
      </c>
      <c r="B78" s="1" t="s">
        <v>66</v>
      </c>
      <c r="C78" s="14">
        <v>20</v>
      </c>
      <c r="D78" s="14">
        <v>43</v>
      </c>
    </row>
    <row r="79" spans="1:4" ht="25" customHeight="1">
      <c r="A79" s="1" t="s">
        <v>100</v>
      </c>
      <c r="B79" s="1" t="s">
        <v>69</v>
      </c>
      <c r="C79" s="14">
        <v>40</v>
      </c>
      <c r="D79" s="14">
        <v>40.75</v>
      </c>
    </row>
    <row r="80" spans="1:4" ht="25" customHeight="1">
      <c r="A80" s="1" t="s">
        <v>100</v>
      </c>
      <c r="B80" s="1" t="s">
        <v>38</v>
      </c>
      <c r="C80" s="14">
        <v>50</v>
      </c>
      <c r="D80" s="14">
        <v>17.75</v>
      </c>
    </row>
    <row r="81" spans="1:4" ht="25" customHeight="1">
      <c r="A81" s="1" t="s">
        <v>100</v>
      </c>
      <c r="B81" s="1" t="s">
        <v>70</v>
      </c>
      <c r="C81" s="14">
        <v>20</v>
      </c>
      <c r="D81" s="14">
        <v>81.25</v>
      </c>
    </row>
    <row r="82" spans="1:4" ht="25" customHeight="1">
      <c r="A82" s="1" t="s">
        <v>100</v>
      </c>
      <c r="B82" s="1" t="s">
        <v>62</v>
      </c>
      <c r="C82" s="14">
        <v>20</v>
      </c>
      <c r="D82" s="14">
        <v>31.5</v>
      </c>
    </row>
    <row r="83" spans="1:4" ht="25" customHeight="1">
      <c r="A83" s="1" t="s">
        <v>100</v>
      </c>
      <c r="B83" s="1" t="s">
        <v>67</v>
      </c>
      <c r="C83" s="14">
        <v>20</v>
      </c>
      <c r="D83" s="14">
        <v>0</v>
      </c>
    </row>
    <row r="84" spans="1:4" ht="25" customHeight="1">
      <c r="A84" s="1" t="s">
        <v>100</v>
      </c>
      <c r="B84" s="1" t="s">
        <v>63</v>
      </c>
      <c r="C84" s="14">
        <v>100</v>
      </c>
      <c r="D84" s="14">
        <v>25.25</v>
      </c>
    </row>
    <row r="85" spans="1:4" ht="25" customHeight="1">
      <c r="A85" s="1" t="s">
        <v>102</v>
      </c>
      <c r="B85" s="1" t="s">
        <v>70</v>
      </c>
      <c r="C85" s="14">
        <v>40</v>
      </c>
      <c r="D85" s="14">
        <v>0</v>
      </c>
    </row>
    <row r="86" spans="1:4" ht="25" customHeight="1">
      <c r="A86" s="1" t="s">
        <v>102</v>
      </c>
      <c r="B86" s="1" t="s">
        <v>38</v>
      </c>
      <c r="C86" s="14">
        <v>40</v>
      </c>
      <c r="D86" s="14">
        <v>28</v>
      </c>
    </row>
    <row r="87" spans="1:4" ht="25" customHeight="1">
      <c r="A87" s="1" t="s">
        <v>102</v>
      </c>
      <c r="B87" s="1" t="s">
        <v>64</v>
      </c>
      <c r="C87" s="14">
        <v>20</v>
      </c>
      <c r="D87" s="14">
        <v>70</v>
      </c>
    </row>
    <row r="88" spans="1:4" ht="25" customHeight="1">
      <c r="A88" s="1" t="s">
        <v>102</v>
      </c>
      <c r="B88" s="1" t="s">
        <v>63</v>
      </c>
      <c r="C88" s="14">
        <v>20</v>
      </c>
      <c r="D88" s="14">
        <v>50.4</v>
      </c>
    </row>
    <row r="89" spans="1:4" ht="25" customHeight="1">
      <c r="A89" s="1" t="s">
        <v>102</v>
      </c>
      <c r="B89" s="1" t="s">
        <v>69</v>
      </c>
      <c r="C89" s="14">
        <v>40</v>
      </c>
      <c r="D89" s="14">
        <v>16.899999999999999</v>
      </c>
    </row>
    <row r="90" spans="1:4" ht="25" customHeight="1">
      <c r="A90" s="1" t="s">
        <v>102</v>
      </c>
      <c r="B90" s="1" t="s">
        <v>61</v>
      </c>
      <c r="C90" s="14">
        <v>40</v>
      </c>
      <c r="D90" s="14">
        <v>62.5</v>
      </c>
    </row>
    <row r="91" spans="1:4" ht="25" customHeight="1">
      <c r="A91" s="1" t="s">
        <v>102</v>
      </c>
      <c r="B91" s="1" t="s">
        <v>62</v>
      </c>
      <c r="C91" s="14">
        <v>40</v>
      </c>
      <c r="D91" s="14">
        <v>12.2</v>
      </c>
    </row>
    <row r="92" spans="1:4" ht="25" customHeight="1">
      <c r="A92" s="1" t="s">
        <v>104</v>
      </c>
      <c r="B92" s="1" t="s">
        <v>69</v>
      </c>
      <c r="C92" s="14">
        <v>40</v>
      </c>
      <c r="D92" s="14">
        <v>34.75</v>
      </c>
    </row>
    <row r="93" spans="1:4" ht="25" customHeight="1">
      <c r="A93" s="1" t="s">
        <v>104</v>
      </c>
      <c r="B93" s="1" t="s">
        <v>38</v>
      </c>
      <c r="C93" s="14">
        <v>20</v>
      </c>
      <c r="D93" s="14">
        <v>25.75</v>
      </c>
    </row>
    <row r="94" spans="1:4" ht="25" customHeight="1">
      <c r="A94" s="1" t="s">
        <v>104</v>
      </c>
      <c r="B94" s="1" t="s">
        <v>61</v>
      </c>
      <c r="C94" s="14">
        <v>20</v>
      </c>
      <c r="D94" s="14">
        <v>20.75</v>
      </c>
    </row>
    <row r="95" spans="1:4" ht="25" customHeight="1">
      <c r="A95" s="1" t="s">
        <v>104</v>
      </c>
      <c r="B95" s="1" t="s">
        <v>46</v>
      </c>
      <c r="C95" s="14">
        <v>20</v>
      </c>
      <c r="D95" s="14">
        <v>36.5</v>
      </c>
    </row>
    <row r="96" spans="1:4" ht="25" customHeight="1">
      <c r="A96" s="1" t="s">
        <v>104</v>
      </c>
      <c r="B96" s="1" t="s">
        <v>66</v>
      </c>
      <c r="C96" s="14">
        <v>40</v>
      </c>
      <c r="D96" s="14">
        <v>16.25</v>
      </c>
    </row>
    <row r="97" spans="1:4" ht="25" customHeight="1">
      <c r="A97" s="1" t="s">
        <v>104</v>
      </c>
      <c r="B97" s="1" t="s">
        <v>70</v>
      </c>
      <c r="C97" s="14">
        <v>20</v>
      </c>
      <c r="D97" s="14">
        <v>34</v>
      </c>
    </row>
    <row r="98" spans="1:4" ht="25" customHeight="1">
      <c r="A98" s="1" t="s">
        <v>104</v>
      </c>
      <c r="B98" s="1" t="s">
        <v>63</v>
      </c>
      <c r="C98" s="14">
        <v>40</v>
      </c>
      <c r="D98" s="14">
        <v>32</v>
      </c>
    </row>
    <row r="99" spans="1:4" ht="25" customHeight="1">
      <c r="A99" s="1" t="s">
        <v>106</v>
      </c>
      <c r="B99" s="1" t="s">
        <v>46</v>
      </c>
      <c r="C99" s="14">
        <v>60</v>
      </c>
      <c r="D99" s="14">
        <v>21.7</v>
      </c>
    </row>
    <row r="100" spans="1:4" ht="25" customHeight="1">
      <c r="A100" s="1" t="s">
        <v>106</v>
      </c>
      <c r="B100" s="1" t="s">
        <v>69</v>
      </c>
      <c r="C100" s="14">
        <v>80</v>
      </c>
      <c r="D100" s="14">
        <v>20</v>
      </c>
    </row>
    <row r="101" spans="1:4" ht="25" customHeight="1">
      <c r="A101" s="1" t="s">
        <v>106</v>
      </c>
      <c r="B101" s="1" t="s">
        <v>67</v>
      </c>
      <c r="C101" s="14">
        <v>25</v>
      </c>
      <c r="D101" s="14">
        <v>0</v>
      </c>
    </row>
    <row r="102" spans="1:4" ht="25" customHeight="1">
      <c r="A102" s="1" t="s">
        <v>106</v>
      </c>
      <c r="B102" s="1" t="s">
        <v>38</v>
      </c>
      <c r="C102" s="14">
        <v>40</v>
      </c>
      <c r="D102" s="14">
        <v>22</v>
      </c>
    </row>
    <row r="103" spans="1:4" ht="25" customHeight="1">
      <c r="A103" s="1" t="s">
        <v>106</v>
      </c>
      <c r="B103" s="1" t="s">
        <v>62</v>
      </c>
      <c r="C103" s="14">
        <v>40</v>
      </c>
      <c r="D103" s="14">
        <v>104.1</v>
      </c>
    </row>
    <row r="104" spans="1:4" ht="25" customHeight="1">
      <c r="A104" s="1" t="s">
        <v>106</v>
      </c>
      <c r="B104" s="1" t="s">
        <v>70</v>
      </c>
      <c r="C104" s="14">
        <v>60</v>
      </c>
      <c r="D104" s="14">
        <v>0</v>
      </c>
    </row>
    <row r="105" spans="1:4" ht="25" customHeight="1">
      <c r="A105" s="1" t="s">
        <v>106</v>
      </c>
      <c r="B105" s="1" t="s">
        <v>64</v>
      </c>
      <c r="C105" s="14">
        <v>20</v>
      </c>
      <c r="D105" s="14">
        <v>157.19999999999999</v>
      </c>
    </row>
    <row r="106" spans="1:4" ht="25" customHeight="1">
      <c r="A106" s="1" t="s">
        <v>153</v>
      </c>
      <c r="B106" s="1" t="s">
        <v>69</v>
      </c>
      <c r="C106" s="14">
        <v>20</v>
      </c>
      <c r="D106" s="14">
        <v>32.5</v>
      </c>
    </row>
    <row r="107" spans="1:4" ht="25" customHeight="1">
      <c r="A107" s="1" t="s">
        <v>153</v>
      </c>
      <c r="B107" s="1" t="s">
        <v>155</v>
      </c>
      <c r="C107" s="14">
        <v>40</v>
      </c>
      <c r="D107" s="14">
        <v>26.75</v>
      </c>
    </row>
    <row r="108" spans="1:4" ht="25" customHeight="1">
      <c r="A108" s="1" t="s">
        <v>153</v>
      </c>
      <c r="B108" s="1" t="s">
        <v>46</v>
      </c>
      <c r="C108" s="14">
        <v>30</v>
      </c>
      <c r="D108" s="14">
        <v>61.25</v>
      </c>
    </row>
    <row r="109" spans="1:4" ht="25" customHeight="1">
      <c r="A109" s="1" t="s">
        <v>153</v>
      </c>
      <c r="B109" s="1" t="s">
        <v>62</v>
      </c>
      <c r="C109" s="14">
        <v>20</v>
      </c>
      <c r="D109" s="14">
        <v>73.75</v>
      </c>
    </row>
    <row r="110" spans="1:4" ht="25" customHeight="1">
      <c r="A110" s="1" t="s">
        <v>153</v>
      </c>
      <c r="B110" s="1" t="s">
        <v>70</v>
      </c>
      <c r="C110" s="14">
        <v>20</v>
      </c>
      <c r="D110" s="14">
        <v>0</v>
      </c>
    </row>
    <row r="111" spans="1:4" ht="25" customHeight="1">
      <c r="A111" s="1" t="s">
        <v>153</v>
      </c>
      <c r="B111" s="1" t="s">
        <v>63</v>
      </c>
      <c r="C111" s="14">
        <v>20</v>
      </c>
      <c r="D111" s="14">
        <v>45</v>
      </c>
    </row>
    <row r="112" spans="1:4" ht="25" customHeight="1">
      <c r="A112" s="1" t="s">
        <v>153</v>
      </c>
      <c r="B112" s="1" t="s">
        <v>67</v>
      </c>
      <c r="C112" s="14">
        <v>20</v>
      </c>
      <c r="D112" s="14">
        <v>0</v>
      </c>
    </row>
    <row r="113" spans="1:4" ht="25" customHeight="1">
      <c r="A113" s="1" t="s">
        <v>153</v>
      </c>
      <c r="B113" s="1" t="s">
        <v>114</v>
      </c>
      <c r="C113" s="14">
        <v>20</v>
      </c>
      <c r="D113" s="14">
        <v>0</v>
      </c>
    </row>
    <row r="114" spans="1:4" ht="25" customHeight="1">
      <c r="A114" s="1" t="s">
        <v>153</v>
      </c>
      <c r="B114" s="1" t="s">
        <v>61</v>
      </c>
      <c r="C114" s="14">
        <v>50</v>
      </c>
      <c r="D114" s="14">
        <v>33.75</v>
      </c>
    </row>
    <row r="115" spans="1:4" ht="25" customHeight="1">
      <c r="A115" s="1" t="s">
        <v>153</v>
      </c>
      <c r="B115" s="1" t="s">
        <v>64</v>
      </c>
      <c r="C115" s="14">
        <v>20</v>
      </c>
      <c r="D115" s="14">
        <v>0</v>
      </c>
    </row>
    <row r="116" spans="1:4" ht="25" customHeight="1">
      <c r="A116" s="1" t="s">
        <v>153</v>
      </c>
      <c r="B116" s="1" t="s">
        <v>38</v>
      </c>
      <c r="C116" s="14">
        <v>40</v>
      </c>
      <c r="D116" s="14">
        <v>20.5</v>
      </c>
    </row>
    <row r="117" spans="1:4" ht="25" customHeight="1">
      <c r="A117" s="1" t="s">
        <v>153</v>
      </c>
      <c r="B117" s="1" t="s">
        <v>66</v>
      </c>
      <c r="C117" s="14">
        <v>20</v>
      </c>
      <c r="D117" s="14">
        <v>26.5</v>
      </c>
    </row>
    <row r="118" spans="1:4" ht="25" customHeight="1">
      <c r="A118" s="1" t="s">
        <v>156</v>
      </c>
      <c r="B118" s="1" t="s">
        <v>46</v>
      </c>
      <c r="C118" s="14">
        <v>20</v>
      </c>
      <c r="D118" s="14">
        <v>40.5</v>
      </c>
    </row>
    <row r="119" spans="1:4" ht="25" customHeight="1">
      <c r="A119" s="1" t="s">
        <v>156</v>
      </c>
      <c r="B119" s="1" t="s">
        <v>66</v>
      </c>
      <c r="C119" s="14">
        <v>20</v>
      </c>
      <c r="D119" s="14">
        <v>63</v>
      </c>
    </row>
    <row r="120" spans="1:4" ht="25" customHeight="1">
      <c r="A120" s="1" t="s">
        <v>156</v>
      </c>
      <c r="B120" s="1" t="s">
        <v>64</v>
      </c>
      <c r="C120" s="14">
        <v>40</v>
      </c>
      <c r="D120" s="14">
        <v>51.75</v>
      </c>
    </row>
    <row r="121" spans="1:4" ht="25" customHeight="1">
      <c r="A121" s="1" t="s">
        <v>156</v>
      </c>
      <c r="B121" s="1" t="s">
        <v>61</v>
      </c>
      <c r="C121" s="14">
        <v>70</v>
      </c>
      <c r="D121" s="14">
        <v>0</v>
      </c>
    </row>
    <row r="122" spans="1:4" ht="25" customHeight="1">
      <c r="A122" s="1" t="s">
        <v>156</v>
      </c>
      <c r="B122" s="1" t="s">
        <v>69</v>
      </c>
      <c r="C122" s="14">
        <v>60</v>
      </c>
      <c r="D122" s="14">
        <v>43</v>
      </c>
    </row>
    <row r="123" spans="1:4" ht="25" customHeight="1">
      <c r="A123" s="1" t="s">
        <v>156</v>
      </c>
      <c r="B123" s="1" t="s">
        <v>62</v>
      </c>
      <c r="C123" s="14">
        <v>40</v>
      </c>
      <c r="D123" s="14">
        <v>33</v>
      </c>
    </row>
    <row r="124" spans="1:4" ht="25" customHeight="1">
      <c r="A124" s="1" t="s">
        <v>156</v>
      </c>
      <c r="B124" s="1" t="s">
        <v>70</v>
      </c>
      <c r="C124" s="14">
        <v>20</v>
      </c>
      <c r="D124" s="14">
        <v>38.75</v>
      </c>
    </row>
    <row r="125" spans="1:4" ht="25" customHeight="1">
      <c r="A125" s="1" t="s">
        <v>158</v>
      </c>
      <c r="B125" s="1" t="s">
        <v>69</v>
      </c>
      <c r="C125" s="14">
        <v>40</v>
      </c>
      <c r="D125" s="14">
        <v>36.1</v>
      </c>
    </row>
    <row r="126" spans="1:4" ht="25" customHeight="1">
      <c r="A126" s="1" t="s">
        <v>158</v>
      </c>
      <c r="B126" s="1" t="s">
        <v>64</v>
      </c>
      <c r="C126" s="14">
        <v>40</v>
      </c>
      <c r="D126" s="14">
        <v>18.8</v>
      </c>
    </row>
    <row r="127" spans="1:4" ht="25" customHeight="1">
      <c r="A127" s="1" t="s">
        <v>158</v>
      </c>
      <c r="B127" s="1" t="s">
        <v>166</v>
      </c>
      <c r="C127" s="14">
        <v>40</v>
      </c>
      <c r="D127" s="14">
        <v>21.1</v>
      </c>
    </row>
    <row r="128" spans="1:4" ht="25" customHeight="1">
      <c r="A128" s="1" t="s">
        <v>158</v>
      </c>
      <c r="B128" s="1" t="s">
        <v>62</v>
      </c>
      <c r="C128" s="14">
        <v>20</v>
      </c>
      <c r="D128" s="14">
        <v>0</v>
      </c>
    </row>
    <row r="129" spans="1:4" ht="25" customHeight="1">
      <c r="A129" s="1" t="s">
        <v>158</v>
      </c>
      <c r="B129" s="1" t="s">
        <v>70</v>
      </c>
      <c r="C129" s="14">
        <v>20</v>
      </c>
      <c r="D129" s="14">
        <v>84</v>
      </c>
    </row>
    <row r="130" spans="1:4" ht="25" customHeight="1">
      <c r="A130" s="1" t="s">
        <v>159</v>
      </c>
      <c r="B130" s="1" t="s">
        <v>69</v>
      </c>
      <c r="C130" s="14">
        <v>20</v>
      </c>
      <c r="D130" s="14">
        <v>30.2</v>
      </c>
    </row>
    <row r="131" spans="1:4" ht="25" customHeight="1">
      <c r="A131" s="1" t="s">
        <v>159</v>
      </c>
      <c r="B131" s="1" t="s">
        <v>38</v>
      </c>
      <c r="C131" s="14">
        <v>20</v>
      </c>
      <c r="D131" s="14">
        <v>18.2</v>
      </c>
    </row>
    <row r="132" spans="1:4" ht="25" customHeight="1">
      <c r="A132" s="1" t="s">
        <v>159</v>
      </c>
      <c r="B132" s="1" t="s">
        <v>66</v>
      </c>
      <c r="C132" s="14">
        <v>20</v>
      </c>
      <c r="D132" s="14">
        <v>26.7</v>
      </c>
    </row>
    <row r="133" spans="1:4" ht="25" customHeight="1">
      <c r="A133" s="1" t="s">
        <v>159</v>
      </c>
      <c r="B133" s="1" t="s">
        <v>63</v>
      </c>
      <c r="C133" s="14">
        <v>20</v>
      </c>
      <c r="D133" s="14">
        <v>24.9</v>
      </c>
    </row>
    <row r="134" spans="1:4" ht="25" customHeight="1">
      <c r="A134" s="1" t="s">
        <v>159</v>
      </c>
      <c r="B134" s="1" t="s">
        <v>61</v>
      </c>
      <c r="C134" s="14">
        <v>20</v>
      </c>
      <c r="D134" s="14">
        <v>12.9</v>
      </c>
    </row>
    <row r="135" spans="1:4" ht="25" customHeight="1">
      <c r="A135" s="1" t="s">
        <v>159</v>
      </c>
      <c r="B135" s="1" t="s">
        <v>62</v>
      </c>
      <c r="C135" s="14">
        <v>20</v>
      </c>
      <c r="D135" s="14">
        <v>7.1</v>
      </c>
    </row>
    <row r="136" spans="1:4" ht="25" customHeight="1">
      <c r="A136" s="1" t="s">
        <v>162</v>
      </c>
      <c r="B136" s="1" t="s">
        <v>38</v>
      </c>
      <c r="C136" s="14">
        <v>20</v>
      </c>
      <c r="D136" s="14">
        <v>23.8</v>
      </c>
    </row>
    <row r="137" spans="1:4" ht="25" customHeight="1">
      <c r="A137" s="1" t="s">
        <v>162</v>
      </c>
      <c r="B137" s="1" t="s">
        <v>79</v>
      </c>
      <c r="C137" s="14">
        <v>20</v>
      </c>
      <c r="D137" s="14">
        <v>23.6</v>
      </c>
    </row>
    <row r="138" spans="1:4" ht="25" customHeight="1">
      <c r="A138" s="1" t="s">
        <v>162</v>
      </c>
      <c r="B138" s="1" t="s">
        <v>62</v>
      </c>
      <c r="C138" s="14">
        <v>20</v>
      </c>
      <c r="D138" s="14">
        <v>62.4</v>
      </c>
    </row>
    <row r="139" spans="1:4" ht="25" customHeight="1">
      <c r="A139" s="1" t="s">
        <v>162</v>
      </c>
      <c r="B139" s="1" t="s">
        <v>73</v>
      </c>
      <c r="C139" s="14">
        <v>40</v>
      </c>
      <c r="D139" s="14">
        <v>76.5</v>
      </c>
    </row>
    <row r="140" spans="1:4" ht="25" customHeight="1">
      <c r="A140" s="1" t="s">
        <v>162</v>
      </c>
      <c r="B140" s="1" t="s">
        <v>69</v>
      </c>
      <c r="C140" s="14">
        <v>80</v>
      </c>
      <c r="D140" s="14">
        <v>51.5</v>
      </c>
    </row>
    <row r="141" spans="1:4" ht="25" customHeight="1">
      <c r="A141" s="1" t="s">
        <v>162</v>
      </c>
      <c r="B141" s="1" t="s">
        <v>71</v>
      </c>
      <c r="C141" s="14">
        <v>40</v>
      </c>
      <c r="D141" s="14">
        <v>22.2</v>
      </c>
    </row>
    <row r="142" spans="1:4" ht="25" customHeight="1">
      <c r="A142" s="1" t="s">
        <v>162</v>
      </c>
      <c r="B142" s="1" t="s">
        <v>46</v>
      </c>
      <c r="C142" s="14">
        <v>20</v>
      </c>
      <c r="D142" s="14">
        <v>0</v>
      </c>
    </row>
    <row r="143" spans="1:4" ht="25" customHeight="1">
      <c r="A143" s="1" t="s">
        <v>162</v>
      </c>
      <c r="B143" s="1" t="s">
        <v>70</v>
      </c>
      <c r="C143" s="14">
        <v>20</v>
      </c>
      <c r="D143" s="14">
        <v>0</v>
      </c>
    </row>
    <row r="144" spans="1:4" ht="25" customHeight="1">
      <c r="A144" s="1" t="s">
        <v>164</v>
      </c>
      <c r="B144" s="1" t="s">
        <v>46</v>
      </c>
      <c r="C144" s="14">
        <v>20</v>
      </c>
      <c r="D144" s="14">
        <v>83.5</v>
      </c>
    </row>
    <row r="145" spans="1:4" ht="25" customHeight="1">
      <c r="A145" s="1" t="s">
        <v>164</v>
      </c>
      <c r="B145" s="1" t="s">
        <v>66</v>
      </c>
      <c r="C145" s="14">
        <v>20</v>
      </c>
      <c r="D145" s="14">
        <v>44.75</v>
      </c>
    </row>
    <row r="146" spans="1:4" ht="25" customHeight="1">
      <c r="A146" s="1" t="s">
        <v>164</v>
      </c>
      <c r="B146" s="1" t="s">
        <v>61</v>
      </c>
      <c r="C146" s="14">
        <v>40</v>
      </c>
      <c r="D146" s="14">
        <v>0</v>
      </c>
    </row>
    <row r="147" spans="1:4" ht="25" customHeight="1">
      <c r="A147" s="1" t="s">
        <v>164</v>
      </c>
      <c r="B147" s="1" t="s">
        <v>64</v>
      </c>
      <c r="C147" s="14">
        <v>50</v>
      </c>
      <c r="D147" s="14">
        <v>20</v>
      </c>
    </row>
    <row r="148" spans="1:4" ht="25" customHeight="1">
      <c r="A148" s="1" t="s">
        <v>164</v>
      </c>
      <c r="B148" s="1" t="s">
        <v>38</v>
      </c>
      <c r="C148" s="14">
        <v>20</v>
      </c>
      <c r="D148" s="14">
        <v>50.5</v>
      </c>
    </row>
    <row r="149" spans="1:4" ht="25" customHeight="1">
      <c r="A149" s="1" t="s">
        <v>164</v>
      </c>
      <c r="B149" s="1" t="s">
        <v>67</v>
      </c>
      <c r="C149" s="14">
        <v>20</v>
      </c>
      <c r="D149" s="14">
        <v>0</v>
      </c>
    </row>
    <row r="150" spans="1:4" ht="25" customHeight="1">
      <c r="A150" s="1" t="s">
        <v>164</v>
      </c>
      <c r="B150" s="1" t="s">
        <v>70</v>
      </c>
      <c r="C150" s="14">
        <v>20</v>
      </c>
      <c r="D150" s="14">
        <v>0</v>
      </c>
    </row>
    <row r="151" spans="1:4" ht="25" customHeight="1">
      <c r="A151" s="1" t="s">
        <v>164</v>
      </c>
      <c r="B151" s="1" t="s">
        <v>62</v>
      </c>
      <c r="C151" s="14">
        <v>40</v>
      </c>
      <c r="D151" s="14">
        <v>24.75</v>
      </c>
    </row>
    <row r="152" spans="1:4" ht="25" customHeight="1">
      <c r="A152" s="1" t="s">
        <v>164</v>
      </c>
      <c r="B152" s="1" t="s">
        <v>69</v>
      </c>
      <c r="C152" s="14">
        <v>20</v>
      </c>
      <c r="D152" s="14">
        <v>11.5</v>
      </c>
    </row>
    <row r="153" spans="1:4" ht="25" customHeight="1">
      <c r="A153" s="1" t="s">
        <v>164</v>
      </c>
      <c r="B153" s="1" t="s">
        <v>63</v>
      </c>
      <c r="C153" s="14">
        <v>20</v>
      </c>
      <c r="D153" s="14">
        <v>35</v>
      </c>
    </row>
    <row r="154" spans="1:4" ht="25" customHeight="1">
      <c r="A154" s="1" t="s">
        <v>167</v>
      </c>
      <c r="B154" s="1" t="s">
        <v>63</v>
      </c>
      <c r="C154" s="14">
        <v>20</v>
      </c>
      <c r="D154" s="14">
        <v>40</v>
      </c>
    </row>
    <row r="155" spans="1:4" ht="25" customHeight="1">
      <c r="A155" s="1" t="s">
        <v>167</v>
      </c>
      <c r="B155" s="1" t="s">
        <v>69</v>
      </c>
      <c r="C155" s="14">
        <v>40</v>
      </c>
      <c r="D155" s="14">
        <v>41.6</v>
      </c>
    </row>
    <row r="156" spans="1:4" ht="25" customHeight="1">
      <c r="A156" s="1" t="s">
        <v>167</v>
      </c>
      <c r="B156" s="1" t="s">
        <v>70</v>
      </c>
      <c r="C156" s="14">
        <v>20</v>
      </c>
      <c r="D156" s="14">
        <v>9.6</v>
      </c>
    </row>
    <row r="157" spans="1:4" ht="25" customHeight="1">
      <c r="A157" s="1" t="s">
        <v>167</v>
      </c>
      <c r="B157" s="1" t="s">
        <v>64</v>
      </c>
      <c r="C157" s="14">
        <v>40</v>
      </c>
      <c r="D157" s="14">
        <v>45.8</v>
      </c>
    </row>
    <row r="158" spans="1:4" ht="25" customHeight="1">
      <c r="A158" s="1" t="s">
        <v>167</v>
      </c>
      <c r="B158" s="1" t="s">
        <v>71</v>
      </c>
      <c r="C158" s="14">
        <v>20</v>
      </c>
      <c r="D158" s="14">
        <v>0</v>
      </c>
    </row>
    <row r="159" spans="1:4" ht="25" customHeight="1">
      <c r="A159" s="1" t="s">
        <v>167</v>
      </c>
      <c r="B159" s="1" t="s">
        <v>66</v>
      </c>
      <c r="C159" s="14">
        <v>40</v>
      </c>
      <c r="D159" s="14">
        <v>28.5</v>
      </c>
    </row>
    <row r="160" spans="1:4" ht="25" customHeight="1">
      <c r="A160" s="1" t="s">
        <v>167</v>
      </c>
      <c r="B160" s="1" t="s">
        <v>67</v>
      </c>
      <c r="C160" s="14">
        <v>20</v>
      </c>
      <c r="D160" s="14">
        <v>0</v>
      </c>
    </row>
    <row r="161" spans="1:4" ht="25" customHeight="1">
      <c r="A161" s="1" t="s">
        <v>167</v>
      </c>
      <c r="B161" s="1" t="s">
        <v>38</v>
      </c>
      <c r="C161" s="14">
        <v>20</v>
      </c>
      <c r="D161" s="14">
        <v>21.9</v>
      </c>
    </row>
    <row r="162" spans="1:4" ht="25" customHeight="1">
      <c r="A162" s="1" t="s">
        <v>167</v>
      </c>
      <c r="B162" s="1" t="s">
        <v>62</v>
      </c>
      <c r="C162" s="14">
        <v>20</v>
      </c>
      <c r="D162" s="14">
        <v>51.6</v>
      </c>
    </row>
    <row r="163" spans="1:4" ht="25" customHeight="1">
      <c r="A163" s="1" t="s">
        <v>169</v>
      </c>
      <c r="B163" s="1" t="s">
        <v>46</v>
      </c>
      <c r="C163" s="14">
        <v>20</v>
      </c>
      <c r="D163" s="14">
        <v>64.75</v>
      </c>
    </row>
    <row r="164" spans="1:4" ht="25" customHeight="1">
      <c r="A164" s="1" t="s">
        <v>169</v>
      </c>
      <c r="B164" s="1" t="s">
        <v>61</v>
      </c>
      <c r="C164" s="14">
        <v>20</v>
      </c>
      <c r="D164" s="14">
        <v>28</v>
      </c>
    </row>
    <row r="165" spans="1:4" ht="25" customHeight="1">
      <c r="A165" s="1" t="s">
        <v>169</v>
      </c>
      <c r="B165" s="1" t="s">
        <v>63</v>
      </c>
      <c r="C165" s="14">
        <v>80</v>
      </c>
      <c r="D165" s="14">
        <v>0</v>
      </c>
    </row>
    <row r="166" spans="1:4" ht="25" customHeight="1">
      <c r="A166" s="1" t="s">
        <v>169</v>
      </c>
      <c r="B166" s="1" t="s">
        <v>62</v>
      </c>
      <c r="C166" s="14">
        <v>60</v>
      </c>
      <c r="D166" s="14">
        <v>18.75</v>
      </c>
    </row>
    <row r="167" spans="1:4" ht="25" customHeight="1">
      <c r="A167" s="1" t="s">
        <v>169</v>
      </c>
      <c r="B167" s="1" t="s">
        <v>70</v>
      </c>
      <c r="C167" s="14">
        <v>40</v>
      </c>
      <c r="D167" s="14">
        <v>76</v>
      </c>
    </row>
    <row r="168" spans="1:4" ht="25" customHeight="1">
      <c r="A168" s="1" t="s">
        <v>169</v>
      </c>
      <c r="B168" s="1" t="s">
        <v>38</v>
      </c>
      <c r="C168" s="14">
        <v>20</v>
      </c>
      <c r="D168" s="14">
        <v>61</v>
      </c>
    </row>
    <row r="169" spans="1:4" ht="25" customHeight="1">
      <c r="A169" s="1" t="s">
        <v>169</v>
      </c>
      <c r="B169" s="1" t="s">
        <v>67</v>
      </c>
      <c r="C169" s="14">
        <v>20</v>
      </c>
      <c r="D169" s="14">
        <v>15.25</v>
      </c>
    </row>
    <row r="170" spans="1:4" ht="25" customHeight="1">
      <c r="A170" s="1" t="s">
        <v>169</v>
      </c>
      <c r="B170" s="1" t="s">
        <v>69</v>
      </c>
      <c r="C170" s="14">
        <v>60</v>
      </c>
      <c r="D170" s="14">
        <v>52.25</v>
      </c>
    </row>
    <row r="171" spans="1:4" ht="25" customHeight="1">
      <c r="A171" s="1" t="s">
        <v>169</v>
      </c>
      <c r="B171" s="1" t="s">
        <v>64</v>
      </c>
      <c r="C171" s="14">
        <v>40</v>
      </c>
      <c r="D171" s="14">
        <v>44</v>
      </c>
    </row>
    <row r="172" spans="1:4" ht="25" customHeight="1">
      <c r="A172" s="1" t="s">
        <v>171</v>
      </c>
      <c r="B172" s="1" t="s">
        <v>73</v>
      </c>
      <c r="C172" s="14">
        <v>20</v>
      </c>
      <c r="D172" s="14">
        <v>39.299999999999997</v>
      </c>
    </row>
    <row r="173" spans="1:4" ht="25" customHeight="1">
      <c r="A173" s="1" t="s">
        <v>171</v>
      </c>
      <c r="B173" s="1" t="s">
        <v>69</v>
      </c>
      <c r="C173" s="14">
        <v>40</v>
      </c>
      <c r="D173" s="14">
        <v>12.8</v>
      </c>
    </row>
    <row r="174" spans="1:4" ht="25" customHeight="1">
      <c r="A174" s="1" t="s">
        <v>171</v>
      </c>
      <c r="B174" s="1" t="s">
        <v>70</v>
      </c>
      <c r="C174" s="14">
        <v>20</v>
      </c>
      <c r="D174" s="14">
        <v>36.9</v>
      </c>
    </row>
    <row r="175" spans="1:4" ht="25" customHeight="1">
      <c r="A175" s="1" t="s">
        <v>171</v>
      </c>
      <c r="B175" s="1" t="s">
        <v>63</v>
      </c>
      <c r="C175" s="14">
        <v>40</v>
      </c>
      <c r="D175" s="14">
        <v>15</v>
      </c>
    </row>
    <row r="176" spans="1:4" ht="25" customHeight="1">
      <c r="A176" s="1" t="s">
        <v>171</v>
      </c>
      <c r="B176" s="1" t="s">
        <v>64</v>
      </c>
      <c r="C176" s="14">
        <v>20</v>
      </c>
      <c r="D176" s="14">
        <v>19.399999999999999</v>
      </c>
    </row>
    <row r="177" spans="1:4" ht="25" customHeight="1">
      <c r="A177" s="1" t="s">
        <v>171</v>
      </c>
      <c r="B177" s="1" t="s">
        <v>62</v>
      </c>
      <c r="C177" s="14">
        <v>20</v>
      </c>
      <c r="D177" s="14">
        <v>22.2</v>
      </c>
    </row>
    <row r="178" spans="1:4" ht="25" customHeight="1">
      <c r="A178" s="1" t="s">
        <v>171</v>
      </c>
      <c r="B178" s="1" t="s">
        <v>38</v>
      </c>
      <c r="C178" s="14">
        <v>40</v>
      </c>
      <c r="D178" s="14">
        <v>54.4</v>
      </c>
    </row>
    <row r="179" spans="1:4" ht="25" customHeight="1">
      <c r="A179" s="1" t="s">
        <v>175</v>
      </c>
      <c r="B179" s="1" t="s">
        <v>69</v>
      </c>
      <c r="C179" s="14">
        <v>30</v>
      </c>
      <c r="D179" s="14">
        <v>14.1</v>
      </c>
    </row>
    <row r="180" spans="1:4" ht="25" customHeight="1">
      <c r="A180" s="1" t="s">
        <v>175</v>
      </c>
      <c r="B180" s="1" t="s">
        <v>38</v>
      </c>
      <c r="C180" s="14">
        <v>20</v>
      </c>
      <c r="D180" s="14">
        <v>55</v>
      </c>
    </row>
    <row r="181" spans="1:4" ht="25" customHeight="1">
      <c r="A181" s="1" t="s">
        <v>175</v>
      </c>
      <c r="B181" s="1" t="s">
        <v>70</v>
      </c>
      <c r="C181" s="14">
        <v>20</v>
      </c>
      <c r="D181" s="14">
        <v>15.7</v>
      </c>
    </row>
    <row r="182" spans="1:4" ht="25" customHeight="1">
      <c r="A182" s="1" t="s">
        <v>175</v>
      </c>
      <c r="B182" s="1" t="s">
        <v>68</v>
      </c>
      <c r="C182" s="14">
        <v>30</v>
      </c>
      <c r="D182" s="14">
        <v>0</v>
      </c>
    </row>
    <row r="183" spans="1:4" ht="25" customHeight="1">
      <c r="A183" s="1" t="s">
        <v>175</v>
      </c>
      <c r="B183" s="1" t="s">
        <v>62</v>
      </c>
      <c r="C183" s="14">
        <v>20</v>
      </c>
      <c r="D183" s="14">
        <v>35.299999999999997</v>
      </c>
    </row>
    <row r="184" spans="1:4" ht="25" customHeight="1">
      <c r="A184" s="1" t="s">
        <v>175</v>
      </c>
      <c r="B184" s="1" t="s">
        <v>64</v>
      </c>
      <c r="C184" s="14">
        <v>20</v>
      </c>
      <c r="D184" s="14">
        <v>19.899999999999999</v>
      </c>
    </row>
  </sheetData>
  <mergeCells count="3">
    <mergeCell ref="A1:D1"/>
    <mergeCell ref="A2:D2"/>
    <mergeCell ref="A3:D3"/>
  </mergeCells>
  <dataValidations count="2">
    <dataValidation type="whole" sqref="C5:C458" xr:uid="{00000000-0002-0000-0400-000000000000}">
      <formula1>1</formula1>
      <formula2>1000000</formula2>
    </dataValidation>
    <dataValidation type="whole" sqref="D5:D458" xr:uid="{00000000-0002-0000-0400-000001000000}">
      <formula1>0</formula1>
      <formula2>1000000</formula2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showGridLines="0" workbookViewId="0">
      <selection activeCell="C12" sqref="C12"/>
    </sheetView>
  </sheetViews>
  <sheetFormatPr baseColWidth="10" defaultColWidth="8.83203125" defaultRowHeight="14"/>
  <cols>
    <col min="1" max="1" width="28" customWidth="1"/>
    <col min="2" max="2" width="40" customWidth="1"/>
    <col min="3" max="3" width="42" customWidth="1"/>
    <col min="4" max="4" width="16" customWidth="1"/>
    <col min="5" max="5" width="12" customWidth="1"/>
  </cols>
  <sheetData>
    <row r="1" spans="1:5" ht="24" customHeight="1">
      <c r="A1" s="71" t="s">
        <v>116</v>
      </c>
      <c r="B1" s="71" t="s">
        <v>116</v>
      </c>
      <c r="C1" s="71" t="s">
        <v>116</v>
      </c>
      <c r="D1" s="71" t="s">
        <v>116</v>
      </c>
      <c r="E1" s="71" t="s">
        <v>116</v>
      </c>
    </row>
    <row r="2" spans="1:5" ht="24" customHeight="1">
      <c r="A2" s="72" t="s">
        <v>117</v>
      </c>
      <c r="B2" s="72" t="s">
        <v>117</v>
      </c>
      <c r="C2" s="72" t="s">
        <v>117</v>
      </c>
      <c r="D2" s="72" t="s">
        <v>117</v>
      </c>
      <c r="E2" s="72" t="s">
        <v>117</v>
      </c>
    </row>
    <row r="3" spans="1:5" ht="24" customHeight="1">
      <c r="A3" s="73" t="s">
        <v>118</v>
      </c>
      <c r="B3" s="73" t="s">
        <v>118</v>
      </c>
      <c r="C3" s="73" t="s">
        <v>118</v>
      </c>
      <c r="D3" s="73" t="s">
        <v>118</v>
      </c>
      <c r="E3" s="73" t="s">
        <v>118</v>
      </c>
    </row>
    <row r="4" spans="1:5" ht="17">
      <c r="A4" s="36" t="s">
        <v>119</v>
      </c>
      <c r="B4" s="36" t="s">
        <v>120</v>
      </c>
      <c r="C4" s="36" t="s">
        <v>121</v>
      </c>
      <c r="D4" s="36" t="s">
        <v>122</v>
      </c>
      <c r="E4" s="36" t="s">
        <v>123</v>
      </c>
    </row>
    <row r="5" spans="1:5" ht="30">
      <c r="A5" s="13" t="s">
        <v>40</v>
      </c>
      <c r="B5" t="s">
        <v>124</v>
      </c>
      <c r="C5" s="37" t="s">
        <v>125</v>
      </c>
      <c r="D5" t="s">
        <v>126</v>
      </c>
      <c r="E5" s="38">
        <v>4</v>
      </c>
    </row>
    <row r="6" spans="1:5" ht="16">
      <c r="A6" s="6" t="s">
        <v>36</v>
      </c>
      <c r="B6" t="s">
        <v>127</v>
      </c>
      <c r="C6" t="s">
        <v>128</v>
      </c>
      <c r="D6" t="s">
        <v>126</v>
      </c>
      <c r="E6">
        <v>3</v>
      </c>
    </row>
    <row r="7" spans="1:5" ht="16">
      <c r="A7" s="13" t="s">
        <v>42</v>
      </c>
      <c r="B7" t="s">
        <v>129</v>
      </c>
      <c r="C7" t="s">
        <v>130</v>
      </c>
      <c r="D7" t="s">
        <v>126</v>
      </c>
      <c r="E7">
        <v>2</v>
      </c>
    </row>
    <row r="8" spans="1:5" ht="16">
      <c r="A8" s="57" t="s">
        <v>44</v>
      </c>
      <c r="B8" t="s">
        <v>174</v>
      </c>
      <c r="C8" t="s">
        <v>173</v>
      </c>
      <c r="D8" t="s">
        <v>126</v>
      </c>
      <c r="E8">
        <v>1</v>
      </c>
    </row>
  </sheetData>
  <mergeCells count="3">
    <mergeCell ref="A1:E1"/>
    <mergeCell ref="A2:E2"/>
    <mergeCell ref="A3:E3"/>
  </mergeCells>
  <dataValidations count="2">
    <dataValidation type="list" sqref="D5:D8" xr:uid="{00000000-0002-0000-0500-000000000000}">
      <formula1>"Yes,No"</formula1>
    </dataValidation>
    <dataValidation type="whole" sqref="E5:E8" xr:uid="{00000000-0002-0000-0500-000001000000}">
      <formula1>1</formula1>
      <formula2>9999</formula2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"/>
  <sheetViews>
    <sheetView showGridLines="0" workbookViewId="0">
      <selection activeCell="C7" sqref="C7"/>
    </sheetView>
  </sheetViews>
  <sheetFormatPr baseColWidth="10" defaultColWidth="8.83203125" defaultRowHeight="16"/>
  <cols>
    <col min="1" max="1" width="24" style="1" customWidth="1"/>
    <col min="2" max="2" width="13" style="1" customWidth="1"/>
    <col min="3" max="3" width="30" style="1" customWidth="1"/>
    <col min="4" max="4" width="58" style="1" customWidth="1"/>
    <col min="5" max="5" width="28" style="1" customWidth="1"/>
    <col min="6" max="6" width="13" style="1" customWidth="1"/>
    <col min="7" max="7" width="12" style="1" customWidth="1"/>
    <col min="8" max="16384" width="8.83203125" style="1"/>
  </cols>
  <sheetData>
    <row r="1" spans="1:7" ht="24" customHeight="1">
      <c r="A1" s="71" t="s">
        <v>131</v>
      </c>
      <c r="B1" s="71" t="s">
        <v>131</v>
      </c>
      <c r="C1" s="71" t="s">
        <v>131</v>
      </c>
      <c r="D1" s="71" t="s">
        <v>131</v>
      </c>
      <c r="E1" s="71" t="s">
        <v>131</v>
      </c>
      <c r="F1" s="71" t="s">
        <v>131</v>
      </c>
      <c r="G1" s="71" t="s">
        <v>131</v>
      </c>
    </row>
    <row r="2" spans="1:7" ht="24" customHeight="1">
      <c r="A2" s="72" t="s">
        <v>132</v>
      </c>
      <c r="B2" s="72" t="s">
        <v>132</v>
      </c>
      <c r="C2" s="72" t="s">
        <v>132</v>
      </c>
      <c r="D2" s="72" t="s">
        <v>132</v>
      </c>
      <c r="E2" s="72" t="s">
        <v>132</v>
      </c>
      <c r="F2" s="72" t="s">
        <v>132</v>
      </c>
      <c r="G2" s="72" t="s">
        <v>132</v>
      </c>
    </row>
    <row r="3" spans="1:7" ht="24" customHeight="1">
      <c r="A3" s="73" t="s">
        <v>133</v>
      </c>
      <c r="B3" s="73" t="s">
        <v>133</v>
      </c>
      <c r="C3" s="73" t="s">
        <v>133</v>
      </c>
      <c r="D3" s="73" t="s">
        <v>133</v>
      </c>
      <c r="E3" s="73" t="s">
        <v>133</v>
      </c>
      <c r="F3" s="73" t="s">
        <v>133</v>
      </c>
      <c r="G3" s="73" t="s">
        <v>133</v>
      </c>
    </row>
    <row r="4" spans="1:7" ht="17">
      <c r="A4" s="36" t="s">
        <v>134</v>
      </c>
      <c r="B4" s="36" t="s">
        <v>30</v>
      </c>
      <c r="C4" s="36" t="s">
        <v>29</v>
      </c>
      <c r="D4" s="36" t="s">
        <v>135</v>
      </c>
      <c r="E4" s="36" t="s">
        <v>119</v>
      </c>
      <c r="F4" s="36" t="s">
        <v>136</v>
      </c>
      <c r="G4" s="36" t="s">
        <v>137</v>
      </c>
    </row>
    <row r="5" spans="1:7" ht="51">
      <c r="A5" s="1" t="s">
        <v>138</v>
      </c>
      <c r="B5" s="55">
        <v>46243</v>
      </c>
      <c r="C5" s="53" t="s">
        <v>152</v>
      </c>
      <c r="D5" s="53" t="s">
        <v>139</v>
      </c>
      <c r="E5" s="1" t="s">
        <v>44</v>
      </c>
      <c r="F5" s="55">
        <v>46305</v>
      </c>
      <c r="G5" s="1" t="s">
        <v>126</v>
      </c>
    </row>
    <row r="6" spans="1:7">
      <c r="A6" s="1" t="s">
        <v>140</v>
      </c>
      <c r="B6" s="56">
        <v>46236</v>
      </c>
      <c r="C6" s="1" t="s">
        <v>141</v>
      </c>
      <c r="D6" s="1" t="s">
        <v>142</v>
      </c>
      <c r="E6" s="54" t="s">
        <v>40</v>
      </c>
    </row>
    <row r="7" spans="1:7">
      <c r="A7" s="1" t="s">
        <v>143</v>
      </c>
      <c r="B7" s="56">
        <v>46236</v>
      </c>
      <c r="C7" s="1" t="s">
        <v>141</v>
      </c>
      <c r="D7" s="1" t="s">
        <v>142</v>
      </c>
      <c r="E7" s="54" t="s">
        <v>36</v>
      </c>
    </row>
  </sheetData>
  <mergeCells count="3">
    <mergeCell ref="A1:G1"/>
    <mergeCell ref="A2:G2"/>
    <mergeCell ref="A3:G3"/>
  </mergeCells>
  <dataValidations count="1">
    <dataValidation type="list" sqref="G5:G7" xr:uid="{00000000-0002-0000-0600-000000000000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7"/>
  <sheetViews>
    <sheetView showGridLines="0" topLeftCell="A6" workbookViewId="0">
      <selection activeCell="C30" sqref="C30"/>
    </sheetView>
  </sheetViews>
  <sheetFormatPr baseColWidth="10" defaultColWidth="8.83203125" defaultRowHeight="14"/>
  <cols>
    <col min="1" max="1" width="30" customWidth="1"/>
    <col min="2" max="2" width="12" customWidth="1"/>
    <col min="3" max="3" width="18" customWidth="1"/>
    <col min="4" max="5" width="15" customWidth="1"/>
  </cols>
  <sheetData>
    <row r="1" spans="1:5" ht="30" customHeight="1">
      <c r="A1" s="88" t="s">
        <v>144</v>
      </c>
      <c r="B1" s="88"/>
      <c r="C1" s="88"/>
      <c r="D1" s="88"/>
      <c r="E1" s="88"/>
    </row>
    <row r="2" spans="1:5" ht="28" customHeight="1">
      <c r="A2" s="89" t="s">
        <v>145</v>
      </c>
      <c r="B2" s="89"/>
      <c r="C2" s="89"/>
      <c r="D2" s="89"/>
      <c r="E2" s="89"/>
    </row>
    <row r="3" spans="1:5" ht="28" customHeight="1">
      <c r="A3" s="90" t="s">
        <v>146</v>
      </c>
      <c r="B3" s="90"/>
      <c r="C3" s="90"/>
      <c r="D3" s="90"/>
      <c r="E3" s="90"/>
    </row>
    <row r="4" spans="1:5">
      <c r="A4" s="63" t="s">
        <v>27</v>
      </c>
      <c r="B4" s="63" t="s">
        <v>147</v>
      </c>
      <c r="C4" s="63" t="s">
        <v>148</v>
      </c>
      <c r="D4" s="63" t="s">
        <v>149</v>
      </c>
      <c r="E4" s="63" t="s">
        <v>150</v>
      </c>
    </row>
    <row r="5" spans="1:5" ht="16">
      <c r="A5" s="13" t="s">
        <v>42</v>
      </c>
      <c r="B5" s="63">
        <v>1</v>
      </c>
      <c r="C5" s="63">
        <v>20</v>
      </c>
      <c r="D5" s="64">
        <v>0.1</v>
      </c>
      <c r="E5" s="64">
        <v>0.2</v>
      </c>
    </row>
    <row r="6" spans="1:5" ht="16">
      <c r="A6" s="13" t="s">
        <v>42</v>
      </c>
      <c r="B6">
        <v>2</v>
      </c>
      <c r="C6">
        <v>20</v>
      </c>
      <c r="D6">
        <v>0.2</v>
      </c>
      <c r="E6">
        <v>0.4</v>
      </c>
    </row>
    <row r="7" spans="1:5" ht="16">
      <c r="A7" s="13" t="s">
        <v>42</v>
      </c>
      <c r="B7">
        <v>3</v>
      </c>
      <c r="C7">
        <v>20</v>
      </c>
      <c r="D7">
        <v>0.3</v>
      </c>
      <c r="E7">
        <v>0.6</v>
      </c>
    </row>
    <row r="8" spans="1:5" ht="16">
      <c r="A8" s="13" t="s">
        <v>42</v>
      </c>
      <c r="B8" t="s">
        <v>151</v>
      </c>
      <c r="C8">
        <v>5</v>
      </c>
    </row>
    <row r="9" spans="1:5" ht="16">
      <c r="A9" s="13" t="s">
        <v>42</v>
      </c>
      <c r="B9">
        <v>4</v>
      </c>
      <c r="C9">
        <v>20</v>
      </c>
      <c r="D9">
        <v>0.4</v>
      </c>
      <c r="E9">
        <v>0.8</v>
      </c>
    </row>
    <row r="10" spans="1:5" ht="16">
      <c r="A10" s="13" t="s">
        <v>42</v>
      </c>
      <c r="B10">
        <v>5</v>
      </c>
      <c r="C10">
        <v>20</v>
      </c>
      <c r="D10">
        <v>0.5</v>
      </c>
      <c r="E10">
        <v>1</v>
      </c>
    </row>
    <row r="11" spans="1:5" ht="16">
      <c r="A11" s="13" t="s">
        <v>42</v>
      </c>
      <c r="B11" t="s">
        <v>151</v>
      </c>
      <c r="C11">
        <v>15</v>
      </c>
    </row>
    <row r="12" spans="1:5" ht="16">
      <c r="A12" s="13" t="s">
        <v>42</v>
      </c>
      <c r="B12">
        <v>6</v>
      </c>
      <c r="C12">
        <v>20</v>
      </c>
      <c r="D12">
        <v>0.7</v>
      </c>
      <c r="E12">
        <v>1.4</v>
      </c>
    </row>
    <row r="13" spans="1:5" ht="16">
      <c r="A13" s="13" t="s">
        <v>42</v>
      </c>
      <c r="B13">
        <v>7</v>
      </c>
      <c r="C13">
        <v>20</v>
      </c>
      <c r="D13">
        <v>0.9</v>
      </c>
      <c r="E13">
        <v>1.8</v>
      </c>
    </row>
    <row r="14" spans="1:5" ht="16">
      <c r="A14" s="13" t="s">
        <v>42</v>
      </c>
      <c r="B14">
        <v>8</v>
      </c>
      <c r="C14">
        <v>20</v>
      </c>
      <c r="D14">
        <v>1</v>
      </c>
      <c r="E14">
        <v>2</v>
      </c>
    </row>
    <row r="15" spans="1:5" ht="16">
      <c r="A15" s="13" t="s">
        <v>42</v>
      </c>
      <c r="B15">
        <v>9</v>
      </c>
      <c r="C15">
        <v>20</v>
      </c>
      <c r="D15">
        <v>1.5</v>
      </c>
      <c r="E15">
        <v>3</v>
      </c>
    </row>
    <row r="16" spans="1:5" ht="16">
      <c r="A16" s="13" t="s">
        <v>42</v>
      </c>
      <c r="B16">
        <v>10</v>
      </c>
      <c r="C16">
        <v>20</v>
      </c>
      <c r="D16">
        <v>2</v>
      </c>
      <c r="E16">
        <v>4</v>
      </c>
    </row>
    <row r="17" spans="1:5" ht="16">
      <c r="A17" s="13" t="s">
        <v>42</v>
      </c>
      <c r="B17">
        <v>11</v>
      </c>
      <c r="C17">
        <v>20</v>
      </c>
      <c r="D17">
        <v>2.5</v>
      </c>
      <c r="E17">
        <v>5</v>
      </c>
    </row>
    <row r="18" spans="1:5" ht="16">
      <c r="A18" s="13" t="s">
        <v>42</v>
      </c>
      <c r="B18" t="s">
        <v>151</v>
      </c>
      <c r="C18">
        <v>10</v>
      </c>
    </row>
    <row r="19" spans="1:5" ht="16">
      <c r="A19" s="13" t="s">
        <v>42</v>
      </c>
      <c r="B19">
        <v>12</v>
      </c>
      <c r="C19">
        <v>15</v>
      </c>
      <c r="D19">
        <v>3</v>
      </c>
      <c r="E19">
        <v>6</v>
      </c>
    </row>
    <row r="20" spans="1:5" ht="16">
      <c r="A20" s="13" t="s">
        <v>42</v>
      </c>
      <c r="B20">
        <v>13</v>
      </c>
      <c r="C20">
        <v>15</v>
      </c>
      <c r="D20">
        <v>4</v>
      </c>
      <c r="E20">
        <v>8</v>
      </c>
    </row>
    <row r="21" spans="1:5" ht="16">
      <c r="A21" s="13" t="s">
        <v>42</v>
      </c>
      <c r="B21">
        <v>14</v>
      </c>
      <c r="C21">
        <v>15</v>
      </c>
      <c r="D21">
        <v>5</v>
      </c>
      <c r="E21">
        <v>10</v>
      </c>
    </row>
    <row r="22" spans="1:5" ht="16">
      <c r="A22" s="13" t="s">
        <v>44</v>
      </c>
      <c r="B22">
        <v>1</v>
      </c>
      <c r="C22">
        <v>30</v>
      </c>
      <c r="D22">
        <v>0.25</v>
      </c>
      <c r="E22">
        <v>0.5</v>
      </c>
    </row>
    <row r="23" spans="1:5" ht="16">
      <c r="A23" s="13" t="s">
        <v>44</v>
      </c>
      <c r="B23">
        <v>2</v>
      </c>
      <c r="C23">
        <v>30</v>
      </c>
      <c r="D23">
        <v>0.5</v>
      </c>
      <c r="E23">
        <v>1</v>
      </c>
    </row>
    <row r="24" spans="1:5" ht="16">
      <c r="A24" s="13" t="s">
        <v>44</v>
      </c>
      <c r="B24">
        <v>3</v>
      </c>
      <c r="C24">
        <v>30</v>
      </c>
      <c r="D24">
        <v>0.75</v>
      </c>
      <c r="E24">
        <v>1.5</v>
      </c>
    </row>
    <row r="25" spans="1:5" ht="16">
      <c r="A25" s="13" t="s">
        <v>44</v>
      </c>
      <c r="B25" t="s">
        <v>151</v>
      </c>
      <c r="C25">
        <v>5</v>
      </c>
    </row>
    <row r="26" spans="1:5" ht="16">
      <c r="A26" s="13" t="s">
        <v>44</v>
      </c>
      <c r="B26">
        <v>4</v>
      </c>
      <c r="C26">
        <v>20</v>
      </c>
      <c r="D26">
        <v>1</v>
      </c>
      <c r="E26">
        <v>2</v>
      </c>
    </row>
    <row r="27" spans="1:5" ht="16">
      <c r="A27" s="13" t="s">
        <v>44</v>
      </c>
      <c r="B27">
        <v>5</v>
      </c>
      <c r="C27">
        <v>20</v>
      </c>
      <c r="D27">
        <v>1.5</v>
      </c>
      <c r="E27">
        <v>3</v>
      </c>
    </row>
    <row r="28" spans="1:5" ht="16">
      <c r="A28" s="13" t="s">
        <v>44</v>
      </c>
      <c r="B28">
        <v>6</v>
      </c>
      <c r="C28">
        <v>20</v>
      </c>
      <c r="D28">
        <v>2</v>
      </c>
      <c r="E28">
        <v>4</v>
      </c>
    </row>
    <row r="29" spans="1:5" ht="16">
      <c r="A29" s="13" t="s">
        <v>44</v>
      </c>
      <c r="B29" t="s">
        <v>151</v>
      </c>
      <c r="C29">
        <v>10</v>
      </c>
    </row>
    <row r="30" spans="1:5" ht="16">
      <c r="A30" s="13" t="s">
        <v>44</v>
      </c>
      <c r="B30">
        <v>7</v>
      </c>
      <c r="C30">
        <v>15</v>
      </c>
      <c r="D30">
        <v>3</v>
      </c>
      <c r="E30">
        <v>6</v>
      </c>
    </row>
    <row r="31" spans="1:5" ht="16">
      <c r="A31" s="13" t="s">
        <v>44</v>
      </c>
      <c r="B31">
        <v>8</v>
      </c>
      <c r="C31">
        <v>15</v>
      </c>
      <c r="D31">
        <v>4</v>
      </c>
      <c r="E31">
        <v>8</v>
      </c>
    </row>
    <row r="32" spans="1:5" ht="16">
      <c r="A32" s="13" t="s">
        <v>44</v>
      </c>
      <c r="B32">
        <v>9</v>
      </c>
      <c r="C32">
        <v>15</v>
      </c>
      <c r="D32">
        <v>5</v>
      </c>
      <c r="E32">
        <v>10</v>
      </c>
    </row>
    <row r="33" spans="1:5" ht="16">
      <c r="A33" s="13" t="s">
        <v>44</v>
      </c>
      <c r="B33">
        <v>10</v>
      </c>
      <c r="C33">
        <v>15</v>
      </c>
      <c r="D33">
        <v>6</v>
      </c>
      <c r="E33">
        <v>12</v>
      </c>
    </row>
    <row r="34" spans="1:5" ht="16">
      <c r="A34" s="13" t="s">
        <v>44</v>
      </c>
      <c r="B34" t="s">
        <v>151</v>
      </c>
      <c r="C34">
        <v>5</v>
      </c>
    </row>
    <row r="35" spans="1:5" ht="16">
      <c r="A35" s="13" t="s">
        <v>44</v>
      </c>
      <c r="B35">
        <v>11</v>
      </c>
      <c r="C35">
        <v>15</v>
      </c>
      <c r="D35">
        <v>8</v>
      </c>
      <c r="E35">
        <v>16</v>
      </c>
    </row>
    <row r="36" spans="1:5" ht="16">
      <c r="A36" s="13" t="s">
        <v>44</v>
      </c>
      <c r="B36">
        <v>12</v>
      </c>
      <c r="C36">
        <v>15</v>
      </c>
      <c r="D36">
        <v>10</v>
      </c>
      <c r="E36">
        <v>20</v>
      </c>
    </row>
    <row r="37" spans="1:5" ht="16">
      <c r="A37" s="13" t="s">
        <v>44</v>
      </c>
      <c r="B37">
        <v>13</v>
      </c>
      <c r="C37">
        <v>15</v>
      </c>
      <c r="D37">
        <v>12</v>
      </c>
      <c r="E37">
        <v>25</v>
      </c>
    </row>
  </sheetData>
  <mergeCells count="3">
    <mergeCell ref="A1:E1"/>
    <mergeCell ref="A2:E2"/>
    <mergeCell ref="A3:E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Start Here</vt:lpstr>
      <vt:lpstr>Tournaments</vt:lpstr>
      <vt:lpstr>Tournament Results</vt:lpstr>
      <vt:lpstr>Cash Games</vt:lpstr>
      <vt:lpstr>Cash Game Results</vt:lpstr>
      <vt:lpstr>Event Photos</vt:lpstr>
      <vt:lpstr>Announcements</vt:lpstr>
      <vt:lpstr>Blind Schedules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Oliver</cp:lastModifiedBy>
  <dcterms:modified xsi:type="dcterms:W3CDTF">2026-10-14T23:34:48Z</dcterms:modified>
</cp:coreProperties>
</file>