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E6C91DC6-396B-C74D-BBD3-59E6903BB36B}" xr6:coauthVersionLast="47" xr6:coauthVersionMax="47" xr10:uidLastSave="{00000000-0000-0000-0000-000000000000}"/>
  <bookViews>
    <workbookView xWindow="0" yWindow="680" windowWidth="30240" windowHeight="178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<sst xmlns="http://schemas.openxmlformats.org/spreadsheetml/2006/main" count="568" uniqueCount="133">
  <si>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</si>
  <si>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</si>
  <si>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</si>
  <si>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</si>
  <si>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</si>
  <si>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</si>
  <si>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</si>
  <si>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</si>
  <si>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</si>
  <si>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</si>
  <si>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</si>
  <si>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</si>
  <si>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</si>
  <si>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</si>
  <si>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</si>
  <si>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</si>
  <si>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</si>
  <si>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</si>
  <si>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</si>
  <si>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</si>
  <si>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</si>
  <si>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</si>
  <si>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</si>
  <si>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</si>
  <si>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</si>
  <si>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</si>
  <si>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</si>
  <si>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</si>
  <si>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</si>
  <si>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</si>
  <si>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</si>
  <si>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</si>
  <si>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</si>
  <si>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</si>
  <si>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</si>
  <si>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</si>
  <si>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Notes</t>
  </si>
  <si>
    <t>tournament-2026-03-28</t>
  </si>
  <si>
    <t>March 2026 Tournament</t>
  </si>
  <si>
    <t>Nate's House</t>
  </si>
  <si>
    <t>completed</t>
  </si>
  <si>
    <t>tournament-2025-09-13</t>
  </si>
  <si>
    <t>September 2025 Tournament</t>
  </si>
  <si>
    <t>tournament-2026-08-01</t>
  </si>
  <si>
    <t>August 2026 Tournament</t>
  </si>
  <si>
    <t>TOURNAMENT RESULTS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</si>
  <si>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</si>
  <si>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</si>
  <si>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</si>
  <si>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</si>
  <si>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</si>
  <si>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Matt O.</t>
  </si>
  <si>
    <t>Matt's House</t>
  </si>
  <si>
    <t>8 PM</t>
  </si>
  <si>
    <t>cash-game-2026-07-18</t>
  </si>
  <si>
    <t>Saturday 7/18/26</t>
  </si>
  <si>
    <t>Nate F.</t>
  </si>
  <si>
    <t>cash-game-2026-07-22</t>
  </si>
  <si>
    <t>Wednesday 7/22/26</t>
  </si>
  <si>
    <t>cash-game-2026-07-29</t>
  </si>
  <si>
    <t>Wednesday 7/29/26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</si>
  <si>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</si>
  <si>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</si>
  <si>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</si>
  <si>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Player</t>
  </si>
  <si>
    <t>Amount Buy-In</t>
  </si>
  <si>
    <t>Amount At End</t>
  </si>
  <si>
    <t>Luke K.</t>
  </si>
  <si>
    <t>Kyser E.</t>
  </si>
  <si>
    <t>Tony P.</t>
  </si>
  <si>
    <t>Sofia M.</t>
  </si>
  <si>
    <t>Adam B.</t>
  </si>
  <si>
    <t>Liam M.</t>
  </si>
  <si>
    <t>Justin A.</t>
  </si>
  <si>
    <t>Ethan N.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</si>
  <si>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</si>
  <si>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</si>
  <si>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</si>
  <si>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</si>
  <si>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</si>
  <si>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</si>
  <si>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</si>
  <si>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</si>
  <si>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</si>
  <si>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</si>
  <si>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</si>
  <si>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</si>
  <si>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</si>
  <si>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</si>
  <si>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</si>
  <si>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</si>
  <si>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</si>
  <si>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</si>
  <si>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</si>
  <si>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</si>
  <si>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</si>
  <si>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</si>
  <si>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</si>
  <si>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</si>
  <si>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</si>
  <si>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</si>
  <si>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</si>
  <si>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</si>
  <si>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</si>
  <si>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</si>
  <si>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</si>
  <si>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</si>
  <si>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Noah S.</t>
  </si>
  <si>
    <t>Chase C.</t>
  </si>
  <si>
    <t>Nathan C.</t>
  </si>
  <si>
    <t>Sammy A.</t>
  </si>
  <si>
    <t>David P.</t>
  </si>
  <si>
    <t>Ben H.</t>
  </si>
  <si>
    <t>1</t>
  </si>
  <si>
    <t>Brian T.</t>
  </si>
  <si>
    <t>2</t>
  </si>
  <si>
    <t>/photos/august2026tourney.jpg</t>
  </si>
  <si>
    <t>August 2026 tournament winner: Nathan C.</t>
  </si>
  <si>
    <t>tournament-2026-10-10</t>
  </si>
  <si>
    <t>upcoming</t>
  </si>
  <si>
    <t>october-tourney-announcement</t>
  </si>
  <si>
    <t>Save the Date: October 10th High-Stakes Tournamet</t>
  </si>
  <si>
    <t>I will be hosting a $50 buy-in tournament on October 10th at 6:30 PM. Stay tuned for a formal invite in the next few weeks, but put it on your calendar now! If we can get 20 players, the total prize pool will be $1,000!</t>
  </si>
  <si>
    <t>October 2026 High-Stakes</t>
  </si>
  <si>
    <t>september-tourney-note</t>
  </si>
  <si>
    <t>march-tourney-note</t>
  </si>
  <si>
    <t>Note</t>
  </si>
  <si>
    <t>Buy-in amounts and placements are approximate. If you have a more accurate recollection, let me know!</t>
  </si>
  <si>
    <t>cash-game-2026-08-05</t>
  </si>
  <si>
    <t>Wednesday 8/5/26</t>
  </si>
  <si>
    <t>Max M.</t>
  </si>
  <si>
    <t>cash-game-2026-08-08</t>
  </si>
  <si>
    <t>Saturday 8/8/26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</si>
</sst>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49" fontId="12" fillId="0" borderId="5" xfId="0" applyNumberFormat="1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/>
    <xf numFmtId="0" fontId="12" fillId="0" borderId="0" xfId="0" applyFont="1"/>
    <xf numFmtId="18" fontId="12" fillId="0" borderId="0" xfId="0" applyNumberFormat="1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ournamentsTable" displayName="TournamentsTable" ref="A4:J8" totalsRowShown="0">
  <autoFilter ref="A4:J8" xr:uid="{00000000-0009-0000-0100-000005000000}"/>
  <tableColumns count="10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Venue"/>
    <tableColumn id="7" xr3:uid="{00000000-0010-0000-0000-000007000000}" name="Status"/>
    <tableColumn id="8" xr3:uid="{00000000-0010-0000-0000-000008000000}" name="Start Time"/>
    <tableColumn id="9" xr3:uid="{00000000-0010-0000-0000-000009000000}" name="Initial Buy-In"/>
    <tableColumn id="10" xr3:uid="{00000000-0010-0000-0000-00000A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48" totalsRowShown="0" headerRowDxfId="27" dataDxfId="26">
  <tableColumns count="9">
    <tableColumn id="1" xr3:uid="{00000000-0010-0000-0100-000001000000}" name="Tournament ID" dataDxfId="25"/>
    <tableColumn id="2" xr3:uid="{00000000-0010-0000-0100-000002000000}" name="Player" dataDxfId="24"/>
    <tableColumn id="3" xr3:uid="{00000000-0010-0000-0100-000003000000}" name="Total Buy-In" dataDxfId="23"/>
    <tableColumn id="4" xr3:uid="{00000000-0010-0000-0100-000004000000}" name="Placement" dataDxfId="22"/>
    <tableColumn id="5" xr3:uid="{00000000-0010-0000-0100-000005000000}" name="Placement Payout" dataDxfId="21"/>
    <tableColumn id="6" xr3:uid="{00000000-0010-0000-0100-000006000000}" name="Bonus Payout" dataDxfId="20"/>
    <tableColumn id="7" xr3:uid="{00000000-0010-0000-0100-000007000000}" name="Elimination Level" dataDxfId="19"/>
    <tableColumn id="9" xr3:uid="{00000000-0010-0000-0100-000009000000}" name="Eliminated At" dataDxfId="18"/>
    <tableColumn id="10" xr3:uid="{00000000-0010-0000-0100-00000A000000}" name="Eliminated By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CashGamesTable" displayName="CashGamesTable" ref="A4:J10" totalsRowShown="0">
  <autoFilter ref="A4:J10" xr:uid="{00000000-0009-0000-0100-000006000000}"/>
  <tableColumns count="10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Venue"/>
    <tableColumn id="7" xr3:uid="{00000000-0010-0000-0200-000007000000}" name="Status"/>
    <tableColumn id="8" xr3:uid="{00000000-0010-0000-0200-000008000000}" name="Start Time"/>
    <tableColumn id="9" xr3:uid="{00000000-0010-0000-0200-000009000000}" name="Initial Buy-In"/>
    <tableColumn id="10" xr3:uid="{00000000-0010-0000-0200-00000A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56" totalsRowShown="0" dataDxfId="16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5"/>
    <tableColumn id="2" xr3:uid="{00000000-0010-0000-0300-000002000000}" name="Player" dataDxfId="14"/>
    <tableColumn id="3" xr3:uid="{00000000-0010-0000-0300-000003000000}" name="Amount Buy-In" dataDxfId="13"/>
    <tableColumn id="4" xr3:uid="{00000000-0010-0000-0300-000004000000}" name="Amount At End" dataDxfId="1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7" totalsRowShown="0">
  <autoFilter ref="A4:E7" xr:uid="{00000000-0009-0000-0100-000007000000}"/>
  <tableColumns count="5">
    <tableColumn id="1" xr3:uid="{00000000-0010-0000-0400-000001000000}" name="Event ID" dataDxfId="11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headerRowDxfId="10" dataDxfId="9">
  <autoFilter ref="A4:G7" xr:uid="{00000000-0009-0000-0100-000008000000}"/>
  <tableColumns count="7">
    <tableColumn id="1" xr3:uid="{00000000-0010-0000-0500-000001000000}" name="Announcement ID" dataDxfId="8"/>
    <tableColumn id="2" xr3:uid="{00000000-0010-0000-0500-000002000000}" name="Date" dataDxfId="7"/>
    <tableColumn id="3" xr3:uid="{00000000-0010-0000-0500-000003000000}" name="Title" dataDxfId="6"/>
    <tableColumn id="4" xr3:uid="{00000000-0010-0000-0500-000004000000}" name="Body" dataDxfId="5"/>
    <tableColumn id="5" xr3:uid="{00000000-0010-0000-0500-000005000000}" name="Event ID" dataDxfId="4"/>
    <tableColumn id="6" xr3:uid="{00000000-0010-0000-0500-000006000000}" name="Expires" dataDxfId="3"/>
    <tableColumn id="7" xr3:uid="{00000000-0010-0000-0500-000007000000}" name="Pinned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2" spans="1:8" ht="28" customHeight="1">
      <c r="A2" s="67" t="s">
        <v>0</v>
      </c>
      <c r="B2" s="67" t="s">
        <v>0</v>
      </c>
      <c r="C2" s="67" t="s">
        <v>0</v>
      </c>
      <c r="D2" s="67" t="s">
        <v>0</v>
      </c>
      <c r="E2" s="67" t="s">
        <v>0</v>
      </c>
      <c r="F2" s="67" t="s">
        <v>0</v>
      </c>
      <c r="G2" s="67" t="s">
        <v>0</v>
      </c>
      <c r="H2" s="67" t="s">
        <v>0</v>
      </c>
    </row>
    <row r="3" spans="1:8" ht="24" customHeight="1">
      <c r="A3" s="68" t="s">
        <v>1</v>
      </c>
      <c r="B3" s="68" t="s">
        <v>1</v>
      </c>
      <c r="C3" s="68" t="s">
        <v>1</v>
      </c>
      <c r="D3" s="68" t="s">
        <v>1</v>
      </c>
      <c r="E3" s="68" t="s">
        <v>1</v>
      </c>
      <c r="F3" s="68" t="s">
        <v>1</v>
      </c>
      <c r="G3" s="68" t="s">
        <v>1</v>
      </c>
      <c r="H3" s="68" t="s">
        <v>1</v>
      </c>
    </row>
    <row r="5" spans="1:8" ht="25" customHeight="1">
      <c r="A5" s="69" t="s">
        <v>2</v>
      </c>
      <c r="B5" s="69" t="s">
        <v>2</v>
      </c>
      <c r="C5" s="69" t="s">
        <v>2</v>
      </c>
      <c r="D5" s="69" t="s">
        <v>2</v>
      </c>
      <c r="E5" s="69" t="s">
        <v>2</v>
      </c>
      <c r="F5" s="69" t="s">
        <v>3</v>
      </c>
      <c r="G5" s="69" t="s">
        <v>3</v>
      </c>
      <c r="H5" s="69" t="s">
        <v>3</v>
      </c>
    </row>
    <row r="6" spans="1:8" ht="30" customHeight="1">
      <c r="A6" s="43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4">
        <f>COUNTA(Tournaments!A5:A500)</f>
        <v>4</v>
      </c>
    </row>
    <row r="7" spans="1:8" ht="30" customHeight="1">
      <c r="A7" s="43">
        <v>2</v>
      </c>
      <c r="B7" s="72" t="s">
        <v>6</v>
      </c>
      <c r="C7" s="72" t="s">
        <v>7</v>
      </c>
      <c r="D7" s="72" t="s">
        <v>7</v>
      </c>
      <c r="E7" s="72" t="s">
        <v>7</v>
      </c>
      <c r="F7" s="73" t="s">
        <v>8</v>
      </c>
      <c r="G7" s="73" t="s">
        <v>8</v>
      </c>
      <c r="H7" s="45">
        <f>COUNTIF(Tournaments!G5:G500,"upcoming")</f>
        <v>1</v>
      </c>
    </row>
    <row r="8" spans="1:8" ht="30" customHeight="1">
      <c r="A8" s="43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4">
        <f>COUNTA('Cash Games'!A5:A500)</f>
        <v>6</v>
      </c>
    </row>
    <row r="9" spans="1:8" ht="30" customHeight="1">
      <c r="A9" s="43">
        <v>4</v>
      </c>
      <c r="B9" s="72" t="s">
        <v>11</v>
      </c>
      <c r="C9" s="72" t="s">
        <v>11</v>
      </c>
      <c r="D9" s="72" t="s">
        <v>11</v>
      </c>
      <c r="E9" s="72" t="s">
        <v>11</v>
      </c>
      <c r="F9" s="73" t="s">
        <v>12</v>
      </c>
      <c r="G9" s="73" t="s">
        <v>12</v>
      </c>
      <c r="H9" s="45">
        <f>COUNTA('Event Photos'!A5:A500)</f>
        <v>3</v>
      </c>
    </row>
    <row r="10" spans="1:8" ht="30" customHeight="1">
      <c r="A10" s="43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4">
        <f>COUNTA(Announcements!A5:A500)</f>
        <v>3</v>
      </c>
    </row>
    <row r="11" spans="1:8" ht="30" customHeight="1">
      <c r="A11" s="43">
        <v>6</v>
      </c>
      <c r="B11" s="72" t="s">
        <v>15</v>
      </c>
      <c r="C11" s="72" t="s">
        <v>15</v>
      </c>
      <c r="D11" s="72" t="s">
        <v>15</v>
      </c>
      <c r="E11" s="72" t="s">
        <v>15</v>
      </c>
      <c r="F11" s="73" t="s">
        <v>16</v>
      </c>
      <c r="G11" s="73" t="s">
        <v>16</v>
      </c>
      <c r="H11" s="45">
        <f>COUNTA('Tournament Results'!A5:A511)+COUNTA('Cash Game Results'!A5:A500)</f>
        <v>96</v>
      </c>
    </row>
    <row r="13" spans="1:8" ht="28" customHeight="1"/>
    <row r="14" spans="1:8" ht="28" customHeight="1">
      <c r="A14" s="74" t="s">
        <v>17</v>
      </c>
      <c r="B14" s="74" t="s">
        <v>17</v>
      </c>
      <c r="C14" s="74" t="s">
        <v>17</v>
      </c>
      <c r="D14" s="74" t="s">
        <v>17</v>
      </c>
      <c r="E14" s="74" t="s">
        <v>17</v>
      </c>
      <c r="F14" s="74" t="s">
        <v>17</v>
      </c>
      <c r="G14" s="74" t="s">
        <v>17</v>
      </c>
      <c r="H14" s="74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72" t="s">
        <v>19</v>
      </c>
      <c r="B16" s="72" t="s">
        <v>19</v>
      </c>
      <c r="C16" s="72" t="s">
        <v>19</v>
      </c>
      <c r="D16" s="72" t="s">
        <v>19</v>
      </c>
      <c r="E16" s="72" t="s">
        <v>19</v>
      </c>
      <c r="F16" s="72" t="s">
        <v>19</v>
      </c>
      <c r="G16" s="72" t="s">
        <v>19</v>
      </c>
      <c r="H16" s="72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72" t="s">
        <v>21</v>
      </c>
      <c r="B18" s="72" t="s">
        <v>21</v>
      </c>
      <c r="C18" s="72" t="s">
        <v>21</v>
      </c>
      <c r="D18" s="72" t="s">
        <v>21</v>
      </c>
      <c r="E18" s="72" t="s">
        <v>21</v>
      </c>
      <c r="F18" s="72" t="s">
        <v>21</v>
      </c>
      <c r="G18" s="72" t="s">
        <v>21</v>
      </c>
      <c r="H18" s="72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72" t="s">
        <v>23</v>
      </c>
      <c r="B20" s="72" t="s">
        <v>23</v>
      </c>
      <c r="C20" s="72" t="s">
        <v>23</v>
      </c>
      <c r="D20" s="72" t="s">
        <v>23</v>
      </c>
      <c r="E20" s="72" t="s">
        <v>23</v>
      </c>
      <c r="F20" s="72" t="s">
        <v>23</v>
      </c>
      <c r="G20" s="72" t="s">
        <v>23</v>
      </c>
      <c r="H20" s="72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C9" sqref="C9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30" customWidth="1"/>
    <col min="5" max="5" width="19" style="1" customWidth="1"/>
    <col min="6" max="6" width="24" style="1" customWidth="1"/>
    <col min="7" max="7" width="13" style="31" customWidth="1"/>
    <col min="8" max="8" width="13" style="1" customWidth="1"/>
    <col min="9" max="9" width="15" style="14" customWidth="1"/>
    <col min="10" max="10" width="42" customWidth="1"/>
    <col min="11" max="16384" width="8.83203125" style="1"/>
  </cols>
  <sheetData>
    <row r="1" spans="1:10" ht="24" customHeight="1">
      <c r="A1" s="64" t="s">
        <v>24</v>
      </c>
      <c r="B1" s="64" t="s">
        <v>24</v>
      </c>
      <c r="C1" s="64" t="s">
        <v>24</v>
      </c>
      <c r="D1" s="64" t="s">
        <v>24</v>
      </c>
      <c r="E1" s="64" t="s">
        <v>24</v>
      </c>
      <c r="F1" s="64" t="s">
        <v>24</v>
      </c>
      <c r="G1" s="64" t="s">
        <v>24</v>
      </c>
      <c r="H1" s="64" t="s">
        <v>24</v>
      </c>
      <c r="I1" s="64" t="s">
        <v>24</v>
      </c>
      <c r="J1" s="64" t="s">
        <v>24</v>
      </c>
    </row>
    <row r="2" spans="1:10" ht="24" customHeight="1">
      <c r="A2" s="65" t="s">
        <v>25</v>
      </c>
      <c r="B2" s="65" t="s">
        <v>25</v>
      </c>
      <c r="C2" s="65" t="s">
        <v>25</v>
      </c>
      <c r="D2" s="65" t="s">
        <v>25</v>
      </c>
      <c r="E2" s="65" t="s">
        <v>25</v>
      </c>
      <c r="F2" s="65" t="s">
        <v>25</v>
      </c>
      <c r="G2" s="65" t="s">
        <v>25</v>
      </c>
      <c r="H2" s="65" t="s">
        <v>25</v>
      </c>
      <c r="I2" s="65" t="s">
        <v>25</v>
      </c>
      <c r="J2" s="65" t="s">
        <v>25</v>
      </c>
    </row>
    <row r="3" spans="1:10" ht="24" customHeight="1">
      <c r="A3" s="66" t="s">
        <v>26</v>
      </c>
      <c r="B3" s="66" t="s">
        <v>26</v>
      </c>
      <c r="C3" s="66" t="s">
        <v>26</v>
      </c>
      <c r="D3" s="66" t="s">
        <v>26</v>
      </c>
      <c r="E3" s="66" t="s">
        <v>26</v>
      </c>
      <c r="F3" s="66" t="s">
        <v>26</v>
      </c>
      <c r="G3" s="66" t="s">
        <v>26</v>
      </c>
      <c r="H3" s="66" t="s">
        <v>26</v>
      </c>
      <c r="I3" s="66" t="s">
        <v>26</v>
      </c>
      <c r="J3" s="66" t="s">
        <v>26</v>
      </c>
    </row>
    <row r="4" spans="1:10" ht="23" customHeight="1">
      <c r="A4" s="2" t="s">
        <v>27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16" t="s">
        <v>33</v>
      </c>
      <c r="H4" s="3" t="s">
        <v>34</v>
      </c>
      <c r="I4" s="5" t="s">
        <v>35</v>
      </c>
      <c r="J4" s="40" t="s">
        <v>36</v>
      </c>
    </row>
    <row r="5" spans="1:10" ht="23" customHeight="1">
      <c r="A5" s="6" t="s">
        <v>37</v>
      </c>
      <c r="B5" s="6" t="s">
        <v>37</v>
      </c>
      <c r="C5" s="7" t="s">
        <v>38</v>
      </c>
      <c r="D5" s="28">
        <v>46109</v>
      </c>
      <c r="E5" s="7" t="s">
        <v>56</v>
      </c>
      <c r="F5" s="7" t="s">
        <v>39</v>
      </c>
      <c r="G5" s="18" t="s">
        <v>40</v>
      </c>
      <c r="H5" s="15"/>
      <c r="I5" s="9">
        <v>20</v>
      </c>
      <c r="J5" s="41"/>
    </row>
    <row r="6" spans="1:10" ht="23" customHeight="1">
      <c r="A6" s="13" t="s">
        <v>41</v>
      </c>
      <c r="B6" s="13" t="s">
        <v>41</v>
      </c>
      <c r="C6" s="1" t="s">
        <v>42</v>
      </c>
      <c r="D6" s="30">
        <v>45913</v>
      </c>
      <c r="E6" s="1" t="s">
        <v>56</v>
      </c>
      <c r="F6" s="1" t="s">
        <v>39</v>
      </c>
      <c r="G6" s="18" t="s">
        <v>40</v>
      </c>
      <c r="I6" s="14">
        <v>20</v>
      </c>
      <c r="J6" s="41"/>
    </row>
    <row r="7" spans="1:10" ht="23" customHeight="1">
      <c r="A7" s="13" t="s">
        <v>43</v>
      </c>
      <c r="B7" s="13" t="s">
        <v>43</v>
      </c>
      <c r="C7" s="7" t="s">
        <v>44</v>
      </c>
      <c r="D7" s="30">
        <v>46235</v>
      </c>
      <c r="E7" s="1" t="s">
        <v>56</v>
      </c>
      <c r="F7" s="1" t="s">
        <v>39</v>
      </c>
      <c r="G7" s="31" t="s">
        <v>40</v>
      </c>
      <c r="H7" s="32">
        <v>0.77083333333333337</v>
      </c>
      <c r="I7" s="14">
        <v>20</v>
      </c>
      <c r="J7" s="41"/>
    </row>
    <row r="8" spans="1:10">
      <c r="A8" s="1" t="s">
        <v>118</v>
      </c>
      <c r="B8" s="1" t="s">
        <v>118</v>
      </c>
      <c r="C8" s="1" t="s">
        <v>123</v>
      </c>
      <c r="D8" s="30">
        <v>46305</v>
      </c>
      <c r="E8" s="1" t="s">
        <v>51</v>
      </c>
      <c r="F8" s="1" t="s">
        <v>52</v>
      </c>
      <c r="G8" s="31" t="s">
        <v>119</v>
      </c>
      <c r="H8" s="32">
        <v>0.77083333333333337</v>
      </c>
      <c r="I8" s="14">
        <v>50</v>
      </c>
    </row>
  </sheetData>
  <mergeCells count="3">
    <mergeCell ref="A1:J1"/>
    <mergeCell ref="A2:J2"/>
    <mergeCell ref="A3:J3"/>
  </mergeCells>
  <conditionalFormatting sqref="G5:G198">
    <cfRule type="containsText" dxfId="1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8"/>
  <sheetViews>
    <sheetView showGridLines="0" topLeftCell="A2" workbookViewId="0">
      <selection activeCell="A25" sqref="A25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7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5" customHeight="1">
      <c r="A1" s="75" t="s">
        <v>45</v>
      </c>
      <c r="B1" s="75"/>
      <c r="C1" s="75"/>
      <c r="D1" s="75"/>
      <c r="E1" s="75"/>
      <c r="F1" s="75"/>
      <c r="G1" s="75"/>
      <c r="H1" s="76"/>
      <c r="I1" s="76"/>
    </row>
    <row r="2" spans="1:9" ht="31" customHeight="1">
      <c r="A2" s="77" t="s">
        <v>95</v>
      </c>
      <c r="B2" s="77"/>
      <c r="C2" s="77"/>
      <c r="D2" s="77"/>
      <c r="E2" s="77"/>
      <c r="F2" s="77"/>
      <c r="G2" s="77"/>
      <c r="H2" s="78"/>
      <c r="I2" s="78"/>
    </row>
    <row r="3" spans="1:9" ht="25" customHeight="1">
      <c r="A3" s="79" t="s">
        <v>96</v>
      </c>
      <c r="B3" s="79"/>
      <c r="C3" s="79"/>
      <c r="D3" s="79"/>
      <c r="E3" s="79"/>
      <c r="F3" s="79"/>
      <c r="G3" s="79"/>
      <c r="H3" s="78"/>
      <c r="I3" s="78"/>
    </row>
    <row r="4" spans="1:9" ht="34" customHeight="1">
      <c r="A4" s="2" t="s">
        <v>27</v>
      </c>
      <c r="B4" s="3" t="s">
        <v>64</v>
      </c>
      <c r="C4" s="4" t="s">
        <v>97</v>
      </c>
      <c r="D4" s="16" t="s">
        <v>98</v>
      </c>
      <c r="E4" s="46" t="s">
        <v>99</v>
      </c>
      <c r="F4" s="47" t="s">
        <v>100</v>
      </c>
      <c r="G4" s="47" t="s">
        <v>101</v>
      </c>
      <c r="H4" s="46" t="s">
        <v>102</v>
      </c>
      <c r="I4" s="46" t="s">
        <v>103</v>
      </c>
    </row>
    <row r="5" spans="1:9" ht="25" customHeight="1">
      <c r="A5" s="6" t="s">
        <v>41</v>
      </c>
      <c r="B5" s="19" t="s">
        <v>104</v>
      </c>
      <c r="C5" s="22">
        <v>40</v>
      </c>
      <c r="D5" s="25" t="s">
        <v>105</v>
      </c>
      <c r="E5" s="48">
        <v>100</v>
      </c>
      <c r="F5" s="48">
        <v>0</v>
      </c>
      <c r="G5" s="51"/>
      <c r="H5" s="54"/>
      <c r="I5" s="55"/>
    </row>
    <row r="6" spans="1:9" ht="25" customHeight="1">
      <c r="A6" s="6" t="s">
        <v>41</v>
      </c>
      <c r="B6" s="21" t="s">
        <v>106</v>
      </c>
      <c r="C6" s="24">
        <v>20</v>
      </c>
      <c r="D6" s="27" t="s">
        <v>105</v>
      </c>
      <c r="E6" s="49">
        <v>100</v>
      </c>
      <c r="F6" s="49">
        <v>0</v>
      </c>
      <c r="G6" s="52"/>
      <c r="H6" s="56"/>
      <c r="I6" s="57"/>
    </row>
    <row r="7" spans="1:9" ht="25" customHeight="1">
      <c r="A7" s="6" t="s">
        <v>41</v>
      </c>
      <c r="B7" s="1" t="s">
        <v>68</v>
      </c>
      <c r="C7" s="14">
        <v>40</v>
      </c>
      <c r="D7" s="17" t="s">
        <v>105</v>
      </c>
      <c r="E7" s="50">
        <v>100</v>
      </c>
      <c r="F7" s="50">
        <v>0</v>
      </c>
      <c r="G7" s="53"/>
      <c r="H7" s="58"/>
      <c r="I7" s="59"/>
    </row>
    <row r="8" spans="1:9" ht="25" customHeight="1">
      <c r="A8" s="6" t="s">
        <v>41</v>
      </c>
      <c r="B8" s="1" t="s">
        <v>51</v>
      </c>
      <c r="C8" s="14">
        <v>20</v>
      </c>
      <c r="D8" s="17" t="s">
        <v>105</v>
      </c>
      <c r="E8" s="49">
        <v>100</v>
      </c>
      <c r="F8" s="49">
        <v>0</v>
      </c>
      <c r="G8" s="52"/>
      <c r="H8" s="56"/>
      <c r="I8" s="57"/>
    </row>
    <row r="9" spans="1:9" ht="25" customHeight="1">
      <c r="A9" s="6" t="s">
        <v>41</v>
      </c>
      <c r="B9" s="1" t="s">
        <v>70</v>
      </c>
      <c r="C9" s="14">
        <v>20</v>
      </c>
      <c r="D9" s="17">
        <v>5</v>
      </c>
      <c r="E9" s="50">
        <v>0</v>
      </c>
      <c r="F9" s="50">
        <v>0</v>
      </c>
      <c r="G9" s="53"/>
      <c r="H9" s="58"/>
      <c r="I9" s="59"/>
    </row>
    <row r="10" spans="1:9" ht="25" customHeight="1">
      <c r="A10" s="6" t="s">
        <v>41</v>
      </c>
      <c r="B10" s="1" t="s">
        <v>69</v>
      </c>
      <c r="C10" s="14">
        <v>20</v>
      </c>
      <c r="D10" s="17">
        <v>6</v>
      </c>
      <c r="E10" s="49">
        <v>0</v>
      </c>
      <c r="F10" s="49">
        <v>0</v>
      </c>
      <c r="G10" s="52"/>
      <c r="H10" s="56"/>
      <c r="I10" s="57"/>
    </row>
    <row r="11" spans="1:9" ht="25" customHeight="1">
      <c r="A11" s="6" t="s">
        <v>41</v>
      </c>
      <c r="B11" s="1" t="s">
        <v>107</v>
      </c>
      <c r="C11" s="14">
        <v>20</v>
      </c>
      <c r="D11" s="17">
        <v>7</v>
      </c>
      <c r="E11" s="50">
        <v>0</v>
      </c>
      <c r="F11" s="50">
        <v>0</v>
      </c>
      <c r="G11" s="53"/>
      <c r="H11" s="58"/>
      <c r="I11" s="59"/>
    </row>
    <row r="12" spans="1:9" ht="25" customHeight="1">
      <c r="A12" s="6" t="s">
        <v>41</v>
      </c>
      <c r="B12" s="1" t="s">
        <v>108</v>
      </c>
      <c r="C12" s="14">
        <v>40</v>
      </c>
      <c r="D12" s="17">
        <v>8</v>
      </c>
      <c r="E12" s="49">
        <v>0</v>
      </c>
      <c r="F12" s="49">
        <v>0</v>
      </c>
      <c r="G12" s="52"/>
      <c r="H12" s="56"/>
      <c r="I12" s="57"/>
    </row>
    <row r="13" spans="1:9" ht="25" customHeight="1">
      <c r="A13" s="6" t="s">
        <v>41</v>
      </c>
      <c r="B13" s="1" t="s">
        <v>72</v>
      </c>
      <c r="C13" s="14">
        <v>20</v>
      </c>
      <c r="D13" s="17">
        <v>9</v>
      </c>
      <c r="E13" s="50">
        <v>0</v>
      </c>
      <c r="F13" s="50">
        <v>0</v>
      </c>
      <c r="G13" s="53"/>
      <c r="H13" s="58"/>
      <c r="I13" s="59"/>
    </row>
    <row r="14" spans="1:9" ht="25" customHeight="1">
      <c r="A14" s="6" t="s">
        <v>41</v>
      </c>
      <c r="B14" s="1" t="s">
        <v>73</v>
      </c>
      <c r="C14" s="14">
        <v>20</v>
      </c>
      <c r="D14" s="17">
        <v>10</v>
      </c>
      <c r="E14" s="49">
        <v>0</v>
      </c>
      <c r="F14" s="49">
        <v>0</v>
      </c>
      <c r="G14" s="52"/>
      <c r="H14" s="56"/>
      <c r="I14" s="57"/>
    </row>
    <row r="15" spans="1:9" ht="25" customHeight="1">
      <c r="A15" s="6" t="s">
        <v>41</v>
      </c>
      <c r="B15" s="1" t="s">
        <v>109</v>
      </c>
      <c r="C15" s="14">
        <v>20</v>
      </c>
      <c r="D15" s="17">
        <v>11</v>
      </c>
      <c r="E15" s="50">
        <v>0</v>
      </c>
      <c r="F15" s="50">
        <v>0</v>
      </c>
      <c r="G15" s="53"/>
      <c r="H15" s="58"/>
      <c r="I15" s="59"/>
    </row>
    <row r="16" spans="1:9" ht="25" customHeight="1">
      <c r="A16" s="6" t="s">
        <v>41</v>
      </c>
      <c r="B16" s="1" t="s">
        <v>56</v>
      </c>
      <c r="C16" s="14">
        <v>20</v>
      </c>
      <c r="D16" s="17">
        <v>12</v>
      </c>
      <c r="E16" s="50">
        <v>0</v>
      </c>
      <c r="F16" s="50">
        <v>0</v>
      </c>
      <c r="G16" s="53"/>
      <c r="H16" s="58"/>
      <c r="I16" s="59"/>
    </row>
    <row r="17" spans="1:9" ht="25" customHeight="1">
      <c r="A17" s="6" t="s">
        <v>41</v>
      </c>
      <c r="B17" s="1" t="s">
        <v>67</v>
      </c>
      <c r="C17" s="14">
        <v>20</v>
      </c>
      <c r="D17" s="17">
        <v>13</v>
      </c>
      <c r="E17" s="49">
        <v>0</v>
      </c>
      <c r="F17" s="49">
        <v>0</v>
      </c>
      <c r="G17" s="52"/>
      <c r="H17" s="56"/>
      <c r="I17" s="57"/>
    </row>
    <row r="18" spans="1:9" ht="25" customHeight="1">
      <c r="A18" s="13" t="s">
        <v>41</v>
      </c>
      <c r="B18" s="1" t="s">
        <v>71</v>
      </c>
      <c r="C18" s="14">
        <v>20</v>
      </c>
      <c r="D18" s="17">
        <v>14</v>
      </c>
      <c r="E18" s="50">
        <v>0</v>
      </c>
      <c r="F18" s="50">
        <v>0</v>
      </c>
      <c r="G18" s="53"/>
      <c r="H18" s="58"/>
      <c r="I18" s="59"/>
    </row>
    <row r="19" spans="1:9" ht="25" customHeight="1">
      <c r="A19" s="13" t="s">
        <v>41</v>
      </c>
      <c r="B19" s="1" t="s">
        <v>110</v>
      </c>
      <c r="C19" s="14">
        <v>20</v>
      </c>
      <c r="D19" s="17">
        <v>15</v>
      </c>
      <c r="E19" s="49">
        <v>0</v>
      </c>
      <c r="F19" s="49">
        <v>0</v>
      </c>
      <c r="G19" s="52"/>
      <c r="H19" s="56"/>
      <c r="I19" s="57"/>
    </row>
    <row r="20" spans="1:9" ht="25" customHeight="1">
      <c r="A20" s="13" t="s">
        <v>41</v>
      </c>
      <c r="B20" s="1" t="s">
        <v>111</v>
      </c>
      <c r="C20" s="14">
        <v>40</v>
      </c>
      <c r="D20" s="17">
        <v>16</v>
      </c>
      <c r="E20" s="50">
        <v>0</v>
      </c>
      <c r="F20" s="50">
        <v>0</v>
      </c>
      <c r="G20" s="53"/>
      <c r="H20" s="58"/>
      <c r="I20" s="59"/>
    </row>
    <row r="21" spans="1:9" ht="25" customHeight="1">
      <c r="A21" s="13" t="s">
        <v>37</v>
      </c>
      <c r="B21" s="20" t="s">
        <v>112</v>
      </c>
      <c r="C21" s="23">
        <v>60</v>
      </c>
      <c r="D21" s="26" t="s">
        <v>113</v>
      </c>
      <c r="E21" s="49">
        <v>195</v>
      </c>
      <c r="F21" s="49">
        <v>0</v>
      </c>
      <c r="G21" s="52"/>
      <c r="H21" s="56"/>
      <c r="I21" s="57"/>
    </row>
    <row r="22" spans="1:9" ht="25" customHeight="1">
      <c r="A22" s="13" t="s">
        <v>37</v>
      </c>
      <c r="B22" s="20" t="s">
        <v>114</v>
      </c>
      <c r="C22" s="23">
        <v>20</v>
      </c>
      <c r="D22" s="26" t="s">
        <v>115</v>
      </c>
      <c r="E22" s="50">
        <v>87.75</v>
      </c>
      <c r="F22" s="50">
        <v>0</v>
      </c>
      <c r="G22" s="53"/>
      <c r="H22" s="58"/>
      <c r="I22" s="59"/>
    </row>
    <row r="23" spans="1:9" ht="25" customHeight="1">
      <c r="A23" s="13" t="s">
        <v>37</v>
      </c>
      <c r="B23" s="1" t="s">
        <v>56</v>
      </c>
      <c r="C23" s="14">
        <v>20</v>
      </c>
      <c r="D23" s="17">
        <v>3</v>
      </c>
      <c r="E23" s="49">
        <v>58.5</v>
      </c>
      <c r="F23" s="49">
        <v>0</v>
      </c>
      <c r="G23" s="52"/>
      <c r="H23" s="56"/>
      <c r="I23" s="57"/>
    </row>
    <row r="24" spans="1:9" ht="25" customHeight="1">
      <c r="A24" s="13" t="s">
        <v>37</v>
      </c>
      <c r="B24" s="1" t="s">
        <v>70</v>
      </c>
      <c r="C24" s="14">
        <v>20</v>
      </c>
      <c r="D24" s="17">
        <v>4</v>
      </c>
      <c r="E24" s="50">
        <v>48.75</v>
      </c>
      <c r="F24" s="50">
        <v>0</v>
      </c>
      <c r="G24" s="53"/>
      <c r="H24" s="58"/>
      <c r="I24" s="59"/>
    </row>
    <row r="25" spans="1:9" ht="25" customHeight="1">
      <c r="A25" s="13" t="s">
        <v>37</v>
      </c>
      <c r="B25" s="1" t="s">
        <v>69</v>
      </c>
      <c r="C25" s="14">
        <v>20</v>
      </c>
      <c r="D25" s="17">
        <v>5</v>
      </c>
      <c r="E25" s="49">
        <v>0</v>
      </c>
      <c r="F25" s="49">
        <v>0</v>
      </c>
      <c r="G25" s="52"/>
      <c r="H25" s="56"/>
      <c r="I25" s="57"/>
    </row>
    <row r="26" spans="1:9" ht="25" customHeight="1">
      <c r="A26" s="13" t="s">
        <v>37</v>
      </c>
      <c r="B26" s="1" t="s">
        <v>67</v>
      </c>
      <c r="C26" s="14">
        <v>20</v>
      </c>
      <c r="D26" s="17">
        <v>6</v>
      </c>
      <c r="E26" s="50">
        <v>0</v>
      </c>
      <c r="F26" s="50">
        <v>0</v>
      </c>
      <c r="G26" s="53"/>
      <c r="H26" s="58"/>
      <c r="I26" s="59"/>
    </row>
    <row r="27" spans="1:9" ht="25" customHeight="1">
      <c r="A27" s="13" t="s">
        <v>37</v>
      </c>
      <c r="B27" s="1" t="s">
        <v>107</v>
      </c>
      <c r="C27" s="14">
        <v>20</v>
      </c>
      <c r="D27" s="17">
        <v>7</v>
      </c>
      <c r="E27" s="49">
        <v>0</v>
      </c>
      <c r="F27" s="49">
        <v>0</v>
      </c>
      <c r="G27" s="52"/>
      <c r="H27" s="56"/>
      <c r="I27" s="57"/>
    </row>
    <row r="28" spans="1:9" ht="25" customHeight="1">
      <c r="A28" s="13" t="s">
        <v>37</v>
      </c>
      <c r="B28" s="1" t="s">
        <v>71</v>
      </c>
      <c r="C28" s="14">
        <v>20</v>
      </c>
      <c r="D28" s="17">
        <v>8</v>
      </c>
      <c r="E28" s="50">
        <v>0</v>
      </c>
      <c r="F28" s="50">
        <v>0</v>
      </c>
      <c r="G28" s="53"/>
      <c r="H28" s="58"/>
      <c r="I28" s="59"/>
    </row>
    <row r="29" spans="1:9" ht="25" customHeight="1">
      <c r="A29" s="13" t="s">
        <v>37</v>
      </c>
      <c r="B29" s="1" t="s">
        <v>73</v>
      </c>
      <c r="C29" s="14">
        <v>20</v>
      </c>
      <c r="D29" s="17">
        <v>9</v>
      </c>
      <c r="E29" s="49">
        <v>0</v>
      </c>
      <c r="F29" s="49">
        <v>0</v>
      </c>
      <c r="G29" s="52"/>
      <c r="H29" s="56"/>
      <c r="I29" s="57"/>
    </row>
    <row r="30" spans="1:9" ht="25" customHeight="1">
      <c r="A30" s="13" t="s">
        <v>37</v>
      </c>
      <c r="B30" s="1" t="s">
        <v>68</v>
      </c>
      <c r="C30" s="14">
        <v>30</v>
      </c>
      <c r="D30" s="17">
        <v>10</v>
      </c>
      <c r="E30" s="50">
        <v>0</v>
      </c>
      <c r="F30" s="50">
        <v>0</v>
      </c>
      <c r="G30" s="53"/>
      <c r="H30" s="58"/>
      <c r="I30" s="59"/>
    </row>
    <row r="31" spans="1:9" ht="25" customHeight="1">
      <c r="A31" s="13" t="s">
        <v>37</v>
      </c>
      <c r="B31" s="1" t="s">
        <v>51</v>
      </c>
      <c r="C31" s="14">
        <v>20</v>
      </c>
      <c r="D31" s="17">
        <v>11</v>
      </c>
      <c r="E31" s="49">
        <v>0</v>
      </c>
      <c r="F31" s="49">
        <v>0</v>
      </c>
      <c r="G31" s="52"/>
      <c r="H31" s="56"/>
      <c r="I31" s="57"/>
    </row>
    <row r="32" spans="1:9" ht="25" customHeight="1">
      <c r="A32" s="13" t="s">
        <v>37</v>
      </c>
      <c r="B32" s="1" t="s">
        <v>110</v>
      </c>
      <c r="C32" s="14">
        <v>40</v>
      </c>
      <c r="D32" s="17">
        <v>12</v>
      </c>
      <c r="E32" s="50">
        <v>0</v>
      </c>
      <c r="F32" s="50">
        <v>0</v>
      </c>
      <c r="G32" s="53"/>
      <c r="H32" s="58"/>
      <c r="I32" s="59"/>
    </row>
    <row r="33" spans="1:9" ht="25" customHeight="1">
      <c r="A33" s="13" t="s">
        <v>37</v>
      </c>
      <c r="B33" s="1" t="s">
        <v>111</v>
      </c>
      <c r="C33" s="14">
        <v>40</v>
      </c>
      <c r="D33" s="17">
        <v>13</v>
      </c>
      <c r="E33" s="49">
        <v>0</v>
      </c>
      <c r="F33" s="49">
        <v>0</v>
      </c>
      <c r="G33" s="52"/>
      <c r="H33" s="56"/>
      <c r="I33" s="57"/>
    </row>
    <row r="34" spans="1:9" ht="25" customHeight="1">
      <c r="A34" s="13" t="s">
        <v>37</v>
      </c>
      <c r="B34" s="1" t="s">
        <v>72</v>
      </c>
      <c r="C34" s="14">
        <v>40</v>
      </c>
      <c r="D34" s="17">
        <v>14</v>
      </c>
      <c r="E34" s="50">
        <v>0</v>
      </c>
      <c r="F34" s="50">
        <v>0</v>
      </c>
      <c r="G34" s="53"/>
      <c r="H34" s="58"/>
      <c r="I34" s="59"/>
    </row>
    <row r="35" spans="1:9" ht="25" customHeight="1">
      <c r="A35" s="13" t="s">
        <v>43</v>
      </c>
      <c r="B35" s="1" t="s">
        <v>74</v>
      </c>
      <c r="C35" s="14">
        <v>40</v>
      </c>
      <c r="D35" s="17">
        <v>14</v>
      </c>
      <c r="E35" s="50">
        <v>0</v>
      </c>
      <c r="F35" s="49">
        <v>0</v>
      </c>
      <c r="G35" s="52">
        <v>4</v>
      </c>
      <c r="H35" s="56">
        <v>0.84375</v>
      </c>
      <c r="I35" s="57" t="s">
        <v>67</v>
      </c>
    </row>
    <row r="36" spans="1:9" ht="25" customHeight="1">
      <c r="A36" s="13" t="s">
        <v>43</v>
      </c>
      <c r="B36" s="1" t="s">
        <v>110</v>
      </c>
      <c r="C36" s="14">
        <v>20</v>
      </c>
      <c r="D36" s="17">
        <v>13</v>
      </c>
      <c r="E36" s="50">
        <v>0</v>
      </c>
      <c r="F36" s="50">
        <v>0</v>
      </c>
      <c r="G36" s="53">
        <v>5</v>
      </c>
      <c r="H36" s="58">
        <v>0.85069444444444442</v>
      </c>
      <c r="I36" s="59" t="s">
        <v>112</v>
      </c>
    </row>
    <row r="37" spans="1:9" ht="25" customHeight="1">
      <c r="A37" s="13" t="s">
        <v>43</v>
      </c>
      <c r="B37" s="1" t="s">
        <v>51</v>
      </c>
      <c r="C37" s="14">
        <v>20</v>
      </c>
      <c r="D37" s="17">
        <v>12</v>
      </c>
      <c r="E37" s="50">
        <v>0</v>
      </c>
      <c r="F37" s="49">
        <v>0</v>
      </c>
      <c r="G37" s="52">
        <v>5</v>
      </c>
      <c r="H37" s="56">
        <v>0.85624999999999996</v>
      </c>
      <c r="I37" s="57" t="s">
        <v>109</v>
      </c>
    </row>
    <row r="38" spans="1:9" ht="25" customHeight="1">
      <c r="A38" s="13" t="s">
        <v>43</v>
      </c>
      <c r="B38" s="1" t="s">
        <v>69</v>
      </c>
      <c r="C38" s="14">
        <v>40</v>
      </c>
      <c r="D38" s="17">
        <v>11</v>
      </c>
      <c r="E38" s="50">
        <v>0</v>
      </c>
      <c r="F38" s="50">
        <v>0</v>
      </c>
      <c r="G38" s="53">
        <v>6</v>
      </c>
      <c r="H38" s="58">
        <v>0.87083333333333335</v>
      </c>
      <c r="I38" s="59" t="s">
        <v>106</v>
      </c>
    </row>
    <row r="39" spans="1:9" ht="25" customHeight="1">
      <c r="A39" s="13" t="s">
        <v>43</v>
      </c>
      <c r="B39" s="1" t="s">
        <v>70</v>
      </c>
      <c r="C39" s="14">
        <v>40</v>
      </c>
      <c r="D39" s="17">
        <v>10</v>
      </c>
      <c r="E39" s="50">
        <v>0</v>
      </c>
      <c r="F39" s="49">
        <v>0</v>
      </c>
      <c r="G39" s="52">
        <v>6</v>
      </c>
      <c r="H39" s="56">
        <v>0.87430555555555556</v>
      </c>
      <c r="I39" s="57" t="s">
        <v>108</v>
      </c>
    </row>
    <row r="40" spans="1:9" ht="25" customHeight="1">
      <c r="A40" s="13" t="s">
        <v>43</v>
      </c>
      <c r="B40" s="1" t="s">
        <v>112</v>
      </c>
      <c r="C40" s="14">
        <v>60</v>
      </c>
      <c r="D40" s="17">
        <v>9</v>
      </c>
      <c r="E40" s="50">
        <v>0</v>
      </c>
      <c r="F40" s="50">
        <v>0</v>
      </c>
      <c r="G40" s="53">
        <v>6</v>
      </c>
      <c r="H40" s="58">
        <v>0.87986111111111109</v>
      </c>
      <c r="I40" s="59" t="s">
        <v>67</v>
      </c>
    </row>
    <row r="41" spans="1:9" ht="25" customHeight="1">
      <c r="A41" s="13" t="s">
        <v>43</v>
      </c>
      <c r="B41" s="1" t="s">
        <v>72</v>
      </c>
      <c r="C41" s="14">
        <v>60</v>
      </c>
      <c r="D41" s="17">
        <v>8</v>
      </c>
      <c r="E41" s="50">
        <v>0</v>
      </c>
      <c r="F41" s="49">
        <v>0</v>
      </c>
      <c r="G41" s="52">
        <v>6</v>
      </c>
      <c r="H41" s="56">
        <v>0.88263888888888886</v>
      </c>
      <c r="I41" s="57" t="s">
        <v>107</v>
      </c>
    </row>
    <row r="42" spans="1:9" ht="25" customHeight="1">
      <c r="A42" s="13" t="s">
        <v>43</v>
      </c>
      <c r="B42" s="1" t="s">
        <v>56</v>
      </c>
      <c r="C42" s="14">
        <v>40</v>
      </c>
      <c r="D42" s="17">
        <v>7</v>
      </c>
      <c r="E42" s="50">
        <v>0</v>
      </c>
      <c r="F42" s="50">
        <v>0</v>
      </c>
      <c r="G42" s="53">
        <v>7</v>
      </c>
      <c r="H42" s="58">
        <v>0.89583333333333337</v>
      </c>
      <c r="I42" s="59" t="s">
        <v>109</v>
      </c>
    </row>
    <row r="43" spans="1:9" ht="25" customHeight="1">
      <c r="A43" s="13" t="s">
        <v>43</v>
      </c>
      <c r="B43" s="1" t="s">
        <v>67</v>
      </c>
      <c r="C43" s="14">
        <v>40</v>
      </c>
      <c r="D43" s="17">
        <v>6</v>
      </c>
      <c r="E43" s="50">
        <v>0</v>
      </c>
      <c r="F43" s="49">
        <v>0</v>
      </c>
      <c r="G43" s="52">
        <v>9</v>
      </c>
      <c r="H43" s="56">
        <v>0.92013888888888884</v>
      </c>
      <c r="I43" s="57" t="s">
        <v>108</v>
      </c>
    </row>
    <row r="44" spans="1:9" ht="25" customHeight="1">
      <c r="A44" s="13" t="s">
        <v>43</v>
      </c>
      <c r="B44" s="1" t="s">
        <v>71</v>
      </c>
      <c r="C44" s="14">
        <v>20</v>
      </c>
      <c r="D44" s="17">
        <v>5</v>
      </c>
      <c r="E44" s="50">
        <v>0</v>
      </c>
      <c r="F44" s="50">
        <v>0</v>
      </c>
      <c r="G44" s="53">
        <v>10</v>
      </c>
      <c r="H44" s="58">
        <v>0.93055555555555558</v>
      </c>
      <c r="I44" s="59" t="s">
        <v>106</v>
      </c>
    </row>
    <row r="45" spans="1:9" ht="25" customHeight="1">
      <c r="A45" s="13" t="s">
        <v>43</v>
      </c>
      <c r="B45" s="1" t="s">
        <v>107</v>
      </c>
      <c r="C45" s="14">
        <v>60</v>
      </c>
      <c r="D45" s="17">
        <v>4</v>
      </c>
      <c r="E45" s="49">
        <v>62.5</v>
      </c>
      <c r="F45" s="49">
        <v>0</v>
      </c>
      <c r="G45" s="52">
        <v>11</v>
      </c>
      <c r="H45" s="56">
        <v>0.95138888888888884</v>
      </c>
      <c r="I45" s="57" t="s">
        <v>109</v>
      </c>
    </row>
    <row r="46" spans="1:9" ht="25" customHeight="1">
      <c r="A46" s="13" t="s">
        <v>43</v>
      </c>
      <c r="B46" s="1" t="s">
        <v>106</v>
      </c>
      <c r="C46" s="14">
        <v>20</v>
      </c>
      <c r="D46" s="17">
        <v>3</v>
      </c>
      <c r="E46" s="50">
        <v>75</v>
      </c>
      <c r="F46" s="50">
        <v>0</v>
      </c>
      <c r="G46" s="53">
        <v>12</v>
      </c>
      <c r="H46" s="58">
        <v>0.95625000000000004</v>
      </c>
      <c r="I46" s="59" t="s">
        <v>109</v>
      </c>
    </row>
    <row r="47" spans="1:9" ht="25" customHeight="1">
      <c r="A47" s="13" t="s">
        <v>43</v>
      </c>
      <c r="B47" s="1" t="s">
        <v>108</v>
      </c>
      <c r="C47" s="14">
        <v>20</v>
      </c>
      <c r="D47" s="17">
        <v>2</v>
      </c>
      <c r="E47" s="49">
        <v>112.5</v>
      </c>
      <c r="F47" s="49">
        <v>0</v>
      </c>
      <c r="G47" s="52">
        <v>13</v>
      </c>
      <c r="H47" s="56">
        <v>0.96736111111111112</v>
      </c>
      <c r="I47" s="57" t="s">
        <v>109</v>
      </c>
    </row>
    <row r="48" spans="1:9" ht="25" customHeight="1">
      <c r="A48" s="13" t="s">
        <v>43</v>
      </c>
      <c r="B48" s="1" t="s">
        <v>109</v>
      </c>
      <c r="C48" s="14">
        <v>20</v>
      </c>
      <c r="D48" s="17">
        <v>1</v>
      </c>
      <c r="E48" s="50">
        <v>250</v>
      </c>
      <c r="F48" s="50">
        <v>0</v>
      </c>
      <c r="G48" s="53"/>
      <c r="H48" s="58"/>
      <c r="I48" s="59"/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showGridLines="0" workbookViewId="0">
      <selection activeCell="A10" sqref="A10"/>
    </sheetView>
  </sheetViews>
  <sheetFormatPr baseColWidth="10" defaultColWidth="8.83203125" defaultRowHeight="24" customHeight="1"/>
  <cols>
    <col min="1" max="1" width="21" style="1" customWidth="1"/>
    <col min="2" max="2" width="27" style="1" customWidth="1"/>
    <col min="3" max="3" width="24" style="1" customWidth="1"/>
    <col min="4" max="4" width="23.83203125" style="30" customWidth="1"/>
    <col min="5" max="5" width="19" style="1" customWidth="1"/>
    <col min="6" max="6" width="24" style="1" customWidth="1"/>
    <col min="7" max="8" width="13" style="1" customWidth="1"/>
    <col min="9" max="9" width="15" style="38" customWidth="1"/>
    <col min="10" max="10" width="42" customWidth="1"/>
    <col min="11" max="16384" width="8.83203125" style="1"/>
  </cols>
  <sheetData>
    <row r="1" spans="1:10" ht="24" customHeight="1">
      <c r="A1" s="64" t="s">
        <v>46</v>
      </c>
      <c r="B1" s="64" t="s">
        <v>46</v>
      </c>
      <c r="C1" s="64" t="s">
        <v>46</v>
      </c>
      <c r="D1" s="64" t="s">
        <v>46</v>
      </c>
      <c r="E1" s="64" t="s">
        <v>46</v>
      </c>
      <c r="F1" s="64" t="s">
        <v>46</v>
      </c>
      <c r="G1" s="64" t="s">
        <v>46</v>
      </c>
      <c r="H1" s="64" t="s">
        <v>46</v>
      </c>
      <c r="I1" s="64" t="s">
        <v>46</v>
      </c>
      <c r="J1" s="64" t="s">
        <v>46</v>
      </c>
    </row>
    <row r="2" spans="1:10" ht="24" customHeight="1">
      <c r="A2" s="65" t="s">
        <v>47</v>
      </c>
      <c r="B2" s="65" t="s">
        <v>47</v>
      </c>
      <c r="C2" s="65" t="s">
        <v>47</v>
      </c>
      <c r="D2" s="65" t="s">
        <v>47</v>
      </c>
      <c r="E2" s="65" t="s">
        <v>47</v>
      </c>
      <c r="F2" s="65" t="s">
        <v>47</v>
      </c>
      <c r="G2" s="65" t="s">
        <v>47</v>
      </c>
      <c r="H2" s="65" t="s">
        <v>47</v>
      </c>
      <c r="I2" s="65" t="s">
        <v>47</v>
      </c>
      <c r="J2" s="65" t="s">
        <v>47</v>
      </c>
    </row>
    <row r="3" spans="1:10" ht="24" customHeight="1">
      <c r="A3" s="66" t="s">
        <v>26</v>
      </c>
      <c r="B3" s="66" t="s">
        <v>26</v>
      </c>
      <c r="C3" s="66" t="s">
        <v>26</v>
      </c>
      <c r="D3" s="66" t="s">
        <v>26</v>
      </c>
      <c r="E3" s="66" t="s">
        <v>26</v>
      </c>
      <c r="F3" s="66" t="s">
        <v>26</v>
      </c>
      <c r="G3" s="66" t="s">
        <v>26</v>
      </c>
      <c r="H3" s="66" t="s">
        <v>26</v>
      </c>
      <c r="I3" s="66" t="s">
        <v>26</v>
      </c>
      <c r="J3" s="66" t="s">
        <v>26</v>
      </c>
    </row>
    <row r="4" spans="1:10" ht="24" customHeight="1">
      <c r="A4" s="2" t="s">
        <v>48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5" t="s">
        <v>35</v>
      </c>
      <c r="J4" s="40" t="s">
        <v>36</v>
      </c>
    </row>
    <row r="5" spans="1:10" ht="24" customHeight="1">
      <c r="A5" s="6" t="s">
        <v>49</v>
      </c>
      <c r="B5" s="6" t="s">
        <v>49</v>
      </c>
      <c r="C5" s="7" t="s">
        <v>50</v>
      </c>
      <c r="D5" s="28">
        <v>46218</v>
      </c>
      <c r="E5" s="7" t="s">
        <v>51</v>
      </c>
      <c r="F5" s="7" t="s">
        <v>52</v>
      </c>
      <c r="G5" s="18" t="s">
        <v>40</v>
      </c>
      <c r="H5" s="15" t="s">
        <v>53</v>
      </c>
      <c r="I5" s="36">
        <v>20</v>
      </c>
      <c r="J5" s="41"/>
    </row>
    <row r="6" spans="1:10" ht="24" customHeight="1">
      <c r="A6" s="13" t="s">
        <v>54</v>
      </c>
      <c r="B6" s="13" t="s">
        <v>54</v>
      </c>
      <c r="C6" s="33" t="s">
        <v>55</v>
      </c>
      <c r="D6" s="39">
        <v>46221</v>
      </c>
      <c r="E6" s="33" t="s">
        <v>56</v>
      </c>
      <c r="F6" s="33" t="s">
        <v>39</v>
      </c>
      <c r="G6" s="18" t="s">
        <v>40</v>
      </c>
      <c r="H6" s="34">
        <v>0.83333333333333337</v>
      </c>
      <c r="I6" s="37">
        <v>20</v>
      </c>
      <c r="J6" s="41"/>
    </row>
    <row r="7" spans="1:10" ht="24" customHeight="1">
      <c r="A7" s="13" t="s">
        <v>57</v>
      </c>
      <c r="B7" s="13" t="s">
        <v>57</v>
      </c>
      <c r="C7" s="7" t="s">
        <v>58</v>
      </c>
      <c r="D7" s="39">
        <v>46225</v>
      </c>
      <c r="E7" s="33" t="s">
        <v>51</v>
      </c>
      <c r="F7" s="33" t="s">
        <v>52</v>
      </c>
      <c r="G7" s="33" t="s">
        <v>40</v>
      </c>
      <c r="H7" s="34">
        <v>0.83333333333333337</v>
      </c>
      <c r="I7" s="37">
        <v>20</v>
      </c>
      <c r="J7" s="41"/>
    </row>
    <row r="8" spans="1:10" ht="24" customHeight="1">
      <c r="A8" s="13" t="s">
        <v>59</v>
      </c>
      <c r="B8" s="13" t="s">
        <v>59</v>
      </c>
      <c r="C8" s="7" t="s">
        <v>60</v>
      </c>
      <c r="D8" s="39">
        <v>46232</v>
      </c>
      <c r="E8" s="33" t="s">
        <v>51</v>
      </c>
      <c r="F8" s="33" t="s">
        <v>52</v>
      </c>
      <c r="G8" s="33" t="s">
        <v>40</v>
      </c>
      <c r="H8" s="34">
        <v>0.83333333333333337</v>
      </c>
      <c r="I8" s="37">
        <v>20</v>
      </c>
      <c r="J8" s="41"/>
    </row>
    <row r="9" spans="1:10" ht="24" customHeight="1">
      <c r="A9" s="13" t="s">
        <v>128</v>
      </c>
      <c r="B9" s="13" t="s">
        <v>128</v>
      </c>
      <c r="C9" s="1" t="s">
        <v>129</v>
      </c>
      <c r="D9" s="30">
        <v>46239</v>
      </c>
      <c r="E9" s="1" t="s">
        <v>51</v>
      </c>
      <c r="F9" s="1" t="s">
        <v>52</v>
      </c>
      <c r="G9" s="1" t="s">
        <v>40</v>
      </c>
      <c r="H9" s="32">
        <v>0.83333333333333337</v>
      </c>
      <c r="I9" s="38">
        <v>20</v>
      </c>
    </row>
    <row r="10" spans="1:10" ht="24" customHeight="1">
      <c r="A10" s="13" t="s">
        <v>131</v>
      </c>
      <c r="B10" s="13" t="s">
        <v>131</v>
      </c>
      <c r="C10" s="1" t="s">
        <v>132</v>
      </c>
      <c r="D10" s="30">
        <v>46242</v>
      </c>
      <c r="E10" s="1" t="s">
        <v>56</v>
      </c>
      <c r="F10" s="1" t="s">
        <v>39</v>
      </c>
      <c r="G10" s="1" t="s">
        <v>40</v>
      </c>
      <c r="H10" s="32">
        <v>0.83333333333333337</v>
      </c>
      <c r="I10" s="38">
        <v>20</v>
      </c>
    </row>
  </sheetData>
  <mergeCells count="3">
    <mergeCell ref="A1:J1"/>
    <mergeCell ref="A2:J2"/>
    <mergeCell ref="A3:J3"/>
  </mergeCells>
  <conditionalFormatting sqref="G5:G199">
    <cfRule type="containsText" dxfId="0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6"/>
  <sheetViews>
    <sheetView showGridLines="0" tabSelected="1" topLeftCell="A33" workbookViewId="0">
      <selection activeCell="E50" sqref="E50"/>
    </sheetView>
  </sheetViews>
  <sheetFormatPr baseColWidth="10" defaultColWidth="8.83203125" defaultRowHeight="24" customHeight="1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4" customHeight="1">
      <c r="A1" s="75" t="s">
        <v>61</v>
      </c>
      <c r="B1" s="75"/>
      <c r="C1" s="75"/>
      <c r="D1" s="75"/>
    </row>
    <row r="2" spans="1:4" ht="24" customHeight="1">
      <c r="A2" s="77" t="s">
        <v>62</v>
      </c>
      <c r="B2" s="77"/>
      <c r="C2" s="77"/>
      <c r="D2" s="77"/>
    </row>
    <row r="3" spans="1:4" ht="24" customHeight="1">
      <c r="A3" s="80" t="s">
        <v>63</v>
      </c>
      <c r="B3" s="80"/>
      <c r="C3" s="80"/>
      <c r="D3" s="80"/>
    </row>
    <row r="4" spans="1:4" ht="24" customHeight="1">
      <c r="A4" s="2" t="s">
        <v>48</v>
      </c>
      <c r="B4" s="3" t="s">
        <v>64</v>
      </c>
      <c r="C4" s="4" t="s">
        <v>65</v>
      </c>
      <c r="D4" s="5" t="s">
        <v>66</v>
      </c>
    </row>
    <row r="5" spans="1:4" ht="24" customHeight="1">
      <c r="A5" s="6" t="s">
        <v>49</v>
      </c>
      <c r="B5" s="7" t="s">
        <v>51</v>
      </c>
      <c r="C5" s="8">
        <v>40</v>
      </c>
      <c r="D5" s="9">
        <v>65</v>
      </c>
    </row>
    <row r="6" spans="1:4" ht="24" customHeight="1">
      <c r="A6" s="6" t="s">
        <v>49</v>
      </c>
      <c r="B6" s="10" t="s">
        <v>67</v>
      </c>
      <c r="C6" s="11">
        <v>40</v>
      </c>
      <c r="D6" s="12">
        <v>41.25</v>
      </c>
    </row>
    <row r="7" spans="1:4" ht="24" customHeight="1">
      <c r="A7" s="6" t="s">
        <v>49</v>
      </c>
      <c r="B7" s="10" t="s">
        <v>68</v>
      </c>
      <c r="C7" s="11">
        <v>20</v>
      </c>
      <c r="D7" s="12">
        <v>42.75</v>
      </c>
    </row>
    <row r="8" spans="1:4" ht="24" customHeight="1">
      <c r="A8" s="6" t="s">
        <v>49</v>
      </c>
      <c r="B8" s="10" t="s">
        <v>69</v>
      </c>
      <c r="C8" s="11">
        <v>40</v>
      </c>
      <c r="D8" s="12">
        <v>48.55</v>
      </c>
    </row>
    <row r="9" spans="1:4" ht="24" customHeight="1">
      <c r="A9" s="6" t="s">
        <v>49</v>
      </c>
      <c r="B9" s="10" t="s">
        <v>70</v>
      </c>
      <c r="C9" s="11">
        <v>60</v>
      </c>
      <c r="D9" s="12">
        <v>23.25</v>
      </c>
    </row>
    <row r="10" spans="1:4" ht="24" customHeight="1">
      <c r="A10" s="6" t="s">
        <v>49</v>
      </c>
      <c r="B10" s="10" t="s">
        <v>71</v>
      </c>
      <c r="C10" s="11">
        <v>60</v>
      </c>
      <c r="D10" s="12">
        <v>23.3</v>
      </c>
    </row>
    <row r="11" spans="1:4" ht="24" customHeight="1">
      <c r="A11" s="13" t="s">
        <v>49</v>
      </c>
      <c r="B11" s="1" t="s">
        <v>56</v>
      </c>
      <c r="C11" s="14">
        <v>20</v>
      </c>
      <c r="D11" s="14">
        <v>11.7</v>
      </c>
    </row>
    <row r="12" spans="1:4" ht="24" customHeight="1">
      <c r="A12" s="13" t="s">
        <v>49</v>
      </c>
      <c r="B12" s="1" t="s">
        <v>72</v>
      </c>
      <c r="C12" s="14">
        <v>20</v>
      </c>
      <c r="D12" s="14">
        <v>33.5</v>
      </c>
    </row>
    <row r="13" spans="1:4" ht="24" customHeight="1">
      <c r="A13" s="13" t="s">
        <v>49</v>
      </c>
      <c r="B13" s="1" t="s">
        <v>73</v>
      </c>
      <c r="C13" s="14">
        <v>20</v>
      </c>
      <c r="D13" s="14">
        <v>30.05</v>
      </c>
    </row>
    <row r="14" spans="1:4" ht="24" customHeight="1">
      <c r="A14" s="13" t="s">
        <v>54</v>
      </c>
      <c r="B14" s="1" t="s">
        <v>56</v>
      </c>
      <c r="C14" s="14">
        <v>20</v>
      </c>
      <c r="D14" s="14">
        <v>22.5</v>
      </c>
    </row>
    <row r="15" spans="1:4" ht="24" customHeight="1">
      <c r="A15" s="13" t="s">
        <v>54</v>
      </c>
      <c r="B15" s="1" t="s">
        <v>67</v>
      </c>
      <c r="C15" s="14">
        <v>100</v>
      </c>
      <c r="D15" s="14">
        <v>40.6</v>
      </c>
    </row>
    <row r="16" spans="1:4" ht="24" customHeight="1">
      <c r="A16" s="13" t="s">
        <v>54</v>
      </c>
      <c r="B16" s="1" t="s">
        <v>74</v>
      </c>
      <c r="C16" s="14">
        <v>50</v>
      </c>
      <c r="D16" s="14">
        <v>0</v>
      </c>
    </row>
    <row r="17" spans="1:4" ht="24" customHeight="1">
      <c r="A17" s="13" t="s">
        <v>54</v>
      </c>
      <c r="B17" s="1" t="s">
        <v>51</v>
      </c>
      <c r="C17" s="14">
        <v>40</v>
      </c>
      <c r="D17" s="14">
        <v>53</v>
      </c>
    </row>
    <row r="18" spans="1:4" ht="24" customHeight="1">
      <c r="A18" s="13" t="s">
        <v>54</v>
      </c>
      <c r="B18" s="1" t="s">
        <v>71</v>
      </c>
      <c r="C18" s="14">
        <v>20</v>
      </c>
      <c r="D18" s="14">
        <v>143.9</v>
      </c>
    </row>
    <row r="19" spans="1:4" ht="24" customHeight="1">
      <c r="A19" s="13" t="s">
        <v>54</v>
      </c>
      <c r="B19" s="1" t="s">
        <v>70</v>
      </c>
      <c r="C19" s="14">
        <v>20</v>
      </c>
      <c r="D19" s="14">
        <v>31.3</v>
      </c>
    </row>
    <row r="20" spans="1:4" ht="24" customHeight="1">
      <c r="A20" s="13" t="s">
        <v>54</v>
      </c>
      <c r="B20" s="1" t="s">
        <v>68</v>
      </c>
      <c r="C20" s="14">
        <v>60</v>
      </c>
      <c r="D20" s="14">
        <v>0</v>
      </c>
    </row>
    <row r="21" spans="1:4" ht="24" customHeight="1">
      <c r="A21" s="13" t="s">
        <v>54</v>
      </c>
      <c r="B21" s="1" t="s">
        <v>69</v>
      </c>
      <c r="C21" s="14">
        <v>120</v>
      </c>
      <c r="D21" s="14">
        <v>148.9</v>
      </c>
    </row>
    <row r="22" spans="1:4" ht="24" customHeight="1">
      <c r="A22" s="13" t="s">
        <v>57</v>
      </c>
      <c r="B22" s="1" t="s">
        <v>51</v>
      </c>
      <c r="C22" s="14">
        <v>40</v>
      </c>
      <c r="D22" s="14">
        <v>73.75</v>
      </c>
    </row>
    <row r="23" spans="1:4" ht="24" customHeight="1">
      <c r="A23" s="13" t="s">
        <v>57</v>
      </c>
      <c r="B23" s="1" t="s">
        <v>71</v>
      </c>
      <c r="C23" s="14">
        <v>60</v>
      </c>
      <c r="D23" s="14">
        <v>19</v>
      </c>
    </row>
    <row r="24" spans="1:4" ht="24" customHeight="1">
      <c r="A24" s="13" t="s">
        <v>57</v>
      </c>
      <c r="B24" s="1" t="s">
        <v>70</v>
      </c>
      <c r="C24" s="14">
        <v>20</v>
      </c>
      <c r="D24" s="14">
        <v>74.5</v>
      </c>
    </row>
    <row r="25" spans="1:4" ht="24" customHeight="1">
      <c r="A25" s="13" t="s">
        <v>57</v>
      </c>
      <c r="B25" s="1" t="s">
        <v>67</v>
      </c>
      <c r="C25" s="14">
        <v>100</v>
      </c>
      <c r="D25" s="14">
        <v>15.75</v>
      </c>
    </row>
    <row r="26" spans="1:4" ht="24" customHeight="1">
      <c r="A26" s="13" t="s">
        <v>57</v>
      </c>
      <c r="B26" s="1" t="s">
        <v>72</v>
      </c>
      <c r="C26" s="14">
        <v>40</v>
      </c>
      <c r="D26" s="14">
        <v>23.25</v>
      </c>
    </row>
    <row r="27" spans="1:4" ht="24" customHeight="1">
      <c r="A27" s="13" t="s">
        <v>57</v>
      </c>
      <c r="B27" s="1" t="s">
        <v>56</v>
      </c>
      <c r="C27" s="14">
        <v>20</v>
      </c>
      <c r="D27" s="14">
        <v>21.75</v>
      </c>
    </row>
    <row r="28" spans="1:4" ht="24" customHeight="1">
      <c r="A28" s="13" t="s">
        <v>57</v>
      </c>
      <c r="B28" s="1" t="s">
        <v>73</v>
      </c>
      <c r="C28" s="14">
        <v>20</v>
      </c>
      <c r="D28" s="14">
        <v>30.25</v>
      </c>
    </row>
    <row r="29" spans="1:4" ht="24" customHeight="1">
      <c r="A29" s="13" t="s">
        <v>57</v>
      </c>
      <c r="B29" s="1" t="s">
        <v>68</v>
      </c>
      <c r="C29" s="14">
        <v>20</v>
      </c>
      <c r="D29" s="14">
        <v>34.25</v>
      </c>
    </row>
    <row r="30" spans="1:4" ht="24" customHeight="1">
      <c r="A30" s="13" t="s">
        <v>57</v>
      </c>
      <c r="B30" s="1" t="s">
        <v>69</v>
      </c>
      <c r="C30" s="14">
        <v>20</v>
      </c>
      <c r="D30" s="14">
        <v>47.5</v>
      </c>
    </row>
    <row r="31" spans="1:4" ht="24" customHeight="1">
      <c r="A31" s="13" t="s">
        <v>59</v>
      </c>
      <c r="B31" s="1" t="s">
        <v>51</v>
      </c>
      <c r="C31" s="14">
        <v>40</v>
      </c>
      <c r="D31" s="14">
        <v>20</v>
      </c>
    </row>
    <row r="32" spans="1:4" ht="24" customHeight="1">
      <c r="A32" s="13" t="s">
        <v>59</v>
      </c>
      <c r="B32" s="1" t="s">
        <v>67</v>
      </c>
      <c r="C32" s="14">
        <v>30</v>
      </c>
      <c r="D32" s="14">
        <v>33</v>
      </c>
    </row>
    <row r="33" spans="1:4" ht="24" customHeight="1">
      <c r="A33" s="13" t="s">
        <v>59</v>
      </c>
      <c r="B33" s="1" t="s">
        <v>68</v>
      </c>
      <c r="C33" s="14">
        <v>60</v>
      </c>
      <c r="D33" s="14">
        <v>47.75</v>
      </c>
    </row>
    <row r="34" spans="1:4" ht="24" customHeight="1">
      <c r="A34" s="13" t="s">
        <v>59</v>
      </c>
      <c r="B34" s="1" t="s">
        <v>69</v>
      </c>
      <c r="C34" s="14">
        <v>60</v>
      </c>
      <c r="D34" s="14">
        <v>45</v>
      </c>
    </row>
    <row r="35" spans="1:4" ht="24" customHeight="1">
      <c r="A35" s="13" t="s">
        <v>59</v>
      </c>
      <c r="B35" s="1" t="s">
        <v>56</v>
      </c>
      <c r="C35" s="14">
        <v>20</v>
      </c>
      <c r="D35" s="14">
        <v>24.25</v>
      </c>
    </row>
    <row r="36" spans="1:4" ht="24" customHeight="1">
      <c r="A36" s="13" t="s">
        <v>59</v>
      </c>
      <c r="B36" s="1" t="s">
        <v>70</v>
      </c>
      <c r="C36" s="14">
        <v>20</v>
      </c>
      <c r="D36" s="14">
        <v>48.25</v>
      </c>
    </row>
    <row r="37" spans="1:4" ht="24" customHeight="1">
      <c r="A37" s="13" t="s">
        <v>59</v>
      </c>
      <c r="B37" s="1" t="s">
        <v>71</v>
      </c>
      <c r="C37" s="14">
        <v>60</v>
      </c>
      <c r="D37" s="14">
        <v>18.5</v>
      </c>
    </row>
    <row r="38" spans="1:4" ht="24" customHeight="1">
      <c r="A38" s="13" t="s">
        <v>59</v>
      </c>
      <c r="B38" s="1" t="s">
        <v>73</v>
      </c>
      <c r="C38" s="14">
        <v>20</v>
      </c>
      <c r="D38" s="14">
        <v>73.25</v>
      </c>
    </row>
    <row r="39" spans="1:4" ht="24" customHeight="1">
      <c r="A39" s="13" t="s">
        <v>128</v>
      </c>
      <c r="B39" s="1" t="s">
        <v>69</v>
      </c>
      <c r="C39" s="14">
        <v>20</v>
      </c>
      <c r="D39" s="14">
        <v>30.75</v>
      </c>
    </row>
    <row r="40" spans="1:4" ht="24" customHeight="1">
      <c r="A40" s="13" t="s">
        <v>128</v>
      </c>
      <c r="B40" s="1" t="s">
        <v>68</v>
      </c>
      <c r="C40" s="14">
        <v>20</v>
      </c>
      <c r="D40" s="14">
        <v>61.5</v>
      </c>
    </row>
    <row r="41" spans="1:4" ht="24" customHeight="1">
      <c r="A41" s="13" t="s">
        <v>128</v>
      </c>
      <c r="B41" s="1" t="s">
        <v>51</v>
      </c>
      <c r="C41" s="14">
        <v>70</v>
      </c>
      <c r="D41" s="14">
        <v>29.25</v>
      </c>
    </row>
    <row r="42" spans="1:4" ht="24" customHeight="1">
      <c r="A42" s="13" t="s">
        <v>128</v>
      </c>
      <c r="B42" s="1" t="s">
        <v>130</v>
      </c>
      <c r="C42" s="14">
        <v>20</v>
      </c>
      <c r="D42" s="14">
        <v>23.75</v>
      </c>
    </row>
    <row r="43" spans="1:4" ht="24" customHeight="1">
      <c r="A43" s="13" t="s">
        <v>128</v>
      </c>
      <c r="B43" s="1" t="s">
        <v>72</v>
      </c>
      <c r="C43" s="14">
        <v>70</v>
      </c>
      <c r="D43" s="14">
        <v>0</v>
      </c>
    </row>
    <row r="44" spans="1:4" ht="24" customHeight="1">
      <c r="A44" s="13" t="s">
        <v>128</v>
      </c>
      <c r="B44" s="1" t="s">
        <v>67</v>
      </c>
      <c r="C44" s="14">
        <v>20</v>
      </c>
      <c r="D44" s="14">
        <v>42.75</v>
      </c>
    </row>
    <row r="45" spans="1:4" ht="24" customHeight="1">
      <c r="A45" s="13" t="s">
        <v>128</v>
      </c>
      <c r="B45" s="1" t="s">
        <v>56</v>
      </c>
      <c r="C45" s="14">
        <v>20</v>
      </c>
      <c r="D45" s="14">
        <v>31.5</v>
      </c>
    </row>
    <row r="46" spans="1:4" ht="24" customHeight="1">
      <c r="A46" s="13" t="s">
        <v>128</v>
      </c>
      <c r="B46" s="1" t="s">
        <v>71</v>
      </c>
      <c r="C46" s="14">
        <v>40</v>
      </c>
      <c r="D46" s="14">
        <v>0</v>
      </c>
    </row>
    <row r="47" spans="1:4" ht="24" customHeight="1">
      <c r="A47" s="13" t="s">
        <v>128</v>
      </c>
      <c r="B47" s="1" t="s">
        <v>70</v>
      </c>
      <c r="C47" s="14">
        <v>20</v>
      </c>
      <c r="D47" s="14">
        <v>73.75</v>
      </c>
    </row>
    <row r="48" spans="1:4" ht="24" customHeight="1">
      <c r="A48" s="13" t="s">
        <v>128</v>
      </c>
      <c r="B48" s="1" t="s">
        <v>104</v>
      </c>
      <c r="C48" s="14">
        <v>30</v>
      </c>
      <c r="D48" s="14">
        <v>36.75</v>
      </c>
    </row>
    <row r="49" spans="1:4" ht="24" customHeight="1">
      <c r="A49" s="13" t="s">
        <v>131</v>
      </c>
      <c r="B49" s="1" t="s">
        <v>67</v>
      </c>
      <c r="C49" s="14">
        <v>20</v>
      </c>
      <c r="D49" s="14">
        <v>10.4</v>
      </c>
    </row>
    <row r="50" spans="1:4" ht="24" customHeight="1">
      <c r="A50" s="13" t="s">
        <v>131</v>
      </c>
      <c r="B50" s="1" t="s">
        <v>72</v>
      </c>
      <c r="C50" s="14">
        <v>40</v>
      </c>
      <c r="D50" s="14">
        <v>0</v>
      </c>
    </row>
    <row r="51" spans="1:4" ht="24" customHeight="1">
      <c r="A51" s="13" t="s">
        <v>131</v>
      </c>
      <c r="B51" s="1" t="s">
        <v>56</v>
      </c>
      <c r="C51" s="14">
        <v>20</v>
      </c>
      <c r="D51" s="14">
        <v>42.5</v>
      </c>
    </row>
    <row r="52" spans="1:4" ht="24" customHeight="1">
      <c r="A52" s="13" t="s">
        <v>131</v>
      </c>
      <c r="B52" s="1" t="s">
        <v>71</v>
      </c>
      <c r="C52" s="14">
        <v>20</v>
      </c>
      <c r="D52" s="14">
        <v>0</v>
      </c>
    </row>
    <row r="53" spans="1:4" ht="24" customHeight="1">
      <c r="A53" s="13" t="s">
        <v>131</v>
      </c>
      <c r="B53" s="1" t="s">
        <v>70</v>
      </c>
      <c r="C53" s="14">
        <v>20</v>
      </c>
      <c r="D53" s="14">
        <v>0</v>
      </c>
    </row>
    <row r="54" spans="1:4" ht="24" customHeight="1">
      <c r="A54" s="13" t="s">
        <v>131</v>
      </c>
      <c r="B54" s="1" t="s">
        <v>69</v>
      </c>
      <c r="C54" s="14">
        <v>20</v>
      </c>
      <c r="D54" s="14">
        <v>61.9</v>
      </c>
    </row>
    <row r="55" spans="1:4" ht="24" customHeight="1">
      <c r="A55" s="13" t="s">
        <v>131</v>
      </c>
      <c r="B55" s="1" t="s">
        <v>51</v>
      </c>
      <c r="C55" s="14">
        <v>20</v>
      </c>
      <c r="D55" s="14">
        <v>19.899999999999999</v>
      </c>
    </row>
    <row r="56" spans="1:4" ht="24" customHeight="1">
      <c r="A56" s="13" t="s">
        <v>131</v>
      </c>
      <c r="B56" s="1" t="s">
        <v>68</v>
      </c>
      <c r="C56" s="14">
        <v>20</v>
      </c>
      <c r="D56" s="14">
        <v>45.3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showGridLines="0" workbookViewId="0">
      <selection activeCell="D13" sqref="D13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64" t="s">
        <v>75</v>
      </c>
      <c r="B1" s="64" t="s">
        <v>75</v>
      </c>
      <c r="C1" s="64" t="s">
        <v>75</v>
      </c>
      <c r="D1" s="64" t="s">
        <v>75</v>
      </c>
      <c r="E1" s="64" t="s">
        <v>75</v>
      </c>
    </row>
    <row r="2" spans="1:5" ht="24" customHeight="1">
      <c r="A2" s="65" t="s">
        <v>76</v>
      </c>
      <c r="B2" s="65" t="s">
        <v>76</v>
      </c>
      <c r="C2" s="65" t="s">
        <v>76</v>
      </c>
      <c r="D2" s="65" t="s">
        <v>76</v>
      </c>
      <c r="E2" s="65" t="s">
        <v>76</v>
      </c>
    </row>
    <row r="3" spans="1:5" ht="24" customHeight="1">
      <c r="A3" s="66" t="s">
        <v>77</v>
      </c>
      <c r="B3" s="66" t="s">
        <v>77</v>
      </c>
      <c r="C3" s="66" t="s">
        <v>77</v>
      </c>
      <c r="D3" s="66" t="s">
        <v>77</v>
      </c>
      <c r="E3" s="66" t="s">
        <v>77</v>
      </c>
    </row>
    <row r="4" spans="1:5" ht="17">
      <c r="A4" s="40" t="s">
        <v>78</v>
      </c>
      <c r="B4" s="40" t="s">
        <v>79</v>
      </c>
      <c r="C4" s="40" t="s">
        <v>80</v>
      </c>
      <c r="D4" s="40" t="s">
        <v>81</v>
      </c>
      <c r="E4" s="40" t="s">
        <v>82</v>
      </c>
    </row>
    <row r="5" spans="1:5" ht="30">
      <c r="A5" s="13" t="s">
        <v>41</v>
      </c>
      <c r="B5" t="s">
        <v>83</v>
      </c>
      <c r="C5" s="41" t="s">
        <v>84</v>
      </c>
      <c r="D5" t="s">
        <v>85</v>
      </c>
      <c r="E5" s="42">
        <v>3</v>
      </c>
    </row>
    <row r="6" spans="1:5" ht="16">
      <c r="A6" s="6" t="s">
        <v>37</v>
      </c>
      <c r="B6" t="s">
        <v>86</v>
      </c>
      <c r="C6" t="s">
        <v>87</v>
      </c>
      <c r="D6" t="s">
        <v>85</v>
      </c>
      <c r="E6">
        <v>2</v>
      </c>
    </row>
    <row r="7" spans="1:5" ht="16">
      <c r="A7" s="13" t="s">
        <v>43</v>
      </c>
      <c r="B7" t="s">
        <v>116</v>
      </c>
      <c r="C7" t="s">
        <v>117</v>
      </c>
      <c r="D7" t="s">
        <v>85</v>
      </c>
      <c r="E7">
        <v>1</v>
      </c>
    </row>
  </sheetData>
  <mergeCells count="3">
    <mergeCell ref="A1:E1"/>
    <mergeCell ref="A2:E2"/>
    <mergeCell ref="A3:E3"/>
  </mergeCells>
  <dataValidations count="2">
    <dataValidation type="list" sqref="D5:D7" xr:uid="{00000000-0002-0000-0500-000000000000}">
      <formula1>"Yes,No"</formula1>
    </dataValidation>
    <dataValidation type="whole" sqref="E5:E7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A13" sqref="A13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64" t="s">
        <v>88</v>
      </c>
      <c r="B1" s="64" t="s">
        <v>88</v>
      </c>
      <c r="C1" s="64" t="s">
        <v>88</v>
      </c>
      <c r="D1" s="64" t="s">
        <v>88</v>
      </c>
      <c r="E1" s="64" t="s">
        <v>88</v>
      </c>
      <c r="F1" s="64" t="s">
        <v>88</v>
      </c>
      <c r="G1" s="64" t="s">
        <v>88</v>
      </c>
    </row>
    <row r="2" spans="1:7" ht="24" customHeight="1">
      <c r="A2" s="65" t="s">
        <v>89</v>
      </c>
      <c r="B2" s="65" t="s">
        <v>89</v>
      </c>
      <c r="C2" s="65" t="s">
        <v>89</v>
      </c>
      <c r="D2" s="65" t="s">
        <v>89</v>
      </c>
      <c r="E2" s="65" t="s">
        <v>89</v>
      </c>
      <c r="F2" s="65" t="s">
        <v>89</v>
      </c>
      <c r="G2" s="65" t="s">
        <v>89</v>
      </c>
    </row>
    <row r="3" spans="1:7" ht="24" customHeight="1">
      <c r="A3" s="66" t="s">
        <v>90</v>
      </c>
      <c r="B3" s="66" t="s">
        <v>90</v>
      </c>
      <c r="C3" s="66" t="s">
        <v>90</v>
      </c>
      <c r="D3" s="66" t="s">
        <v>90</v>
      </c>
      <c r="E3" s="66" t="s">
        <v>90</v>
      </c>
      <c r="F3" s="66" t="s">
        <v>90</v>
      </c>
      <c r="G3" s="66" t="s">
        <v>90</v>
      </c>
    </row>
    <row r="4" spans="1:7" ht="17">
      <c r="A4" s="40" t="s">
        <v>91</v>
      </c>
      <c r="B4" s="40" t="s">
        <v>30</v>
      </c>
      <c r="C4" s="40" t="s">
        <v>29</v>
      </c>
      <c r="D4" s="40" t="s">
        <v>92</v>
      </c>
      <c r="E4" s="40" t="s">
        <v>78</v>
      </c>
      <c r="F4" s="40" t="s">
        <v>93</v>
      </c>
      <c r="G4" s="40" t="s">
        <v>94</v>
      </c>
    </row>
    <row r="5" spans="1:7" ht="68">
      <c r="A5" s="1" t="s">
        <v>120</v>
      </c>
      <c r="B5" s="62">
        <v>46236</v>
      </c>
      <c r="C5" s="60" t="s">
        <v>121</v>
      </c>
      <c r="D5" s="60" t="s">
        <v>122</v>
      </c>
      <c r="E5" s="1" t="s">
        <v>118</v>
      </c>
      <c r="F5" s="62">
        <v>46305</v>
      </c>
      <c r="G5" s="1" t="s">
        <v>85</v>
      </c>
    </row>
    <row r="6" spans="1:7">
      <c r="A6" s="1" t="s">
        <v>124</v>
      </c>
      <c r="B6" s="63">
        <v>46236</v>
      </c>
      <c r="C6" s="1" t="s">
        <v>126</v>
      </c>
      <c r="D6" s="1" t="s">
        <v>127</v>
      </c>
      <c r="E6" s="61" t="s">
        <v>41</v>
      </c>
    </row>
    <row r="7" spans="1:7">
      <c r="A7" s="1" t="s">
        <v>125</v>
      </c>
      <c r="B7" s="63">
        <v>46236</v>
      </c>
      <c r="C7" s="1" t="s">
        <v>126</v>
      </c>
      <c r="D7" s="1" t="s">
        <v>127</v>
      </c>
      <c r="E7" s="61" t="s">
        <v>37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2026-08-09T04:16:46Z</dcterms:modified>
</cp:coreProperties>
</file>