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matthewoliver/Documents/Coding/ATownPokerSite/data/source/"/>
    </mc:Choice>
  </mc:AlternateContent>
  <xr:revisionPtr revIDLastSave="0" documentId="13_ncr:1_{9766D901-A242-BF45-BA9E-004931AAF88A}" xr6:coauthVersionLast="47" xr6:coauthVersionMax="47" xr10:uidLastSave="{00000000-0000-0000-0000-000000000000}"/>
  <bookViews>
    <workbookView xWindow="0" yWindow="620" windowWidth="38400" windowHeight="19540" activeTab="4" xr2:uid="{00000000-000D-0000-FFFF-FFFF00000000}"/>
  </bookViews>
  <sheets>
    <sheet name="Start Here" sheetId="1" r:id="rId1"/>
    <sheet name="Tournaments" sheetId="2" r:id="rId2"/>
    <sheet name="Tournament Results" sheetId="3" r:id="rId3"/>
    <sheet name="Cash Games" sheetId="4" r:id="rId4"/>
    <sheet name="Cash Game Results" sheetId="5" r:id="rId5"/>
    <sheet name="Event Photos" sheetId="6" r:id="rId6"/>
    <sheet name="Announcement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10" i="1"/>
  <c r="H9" i="1"/>
  <c r="H8" i="1"/>
  <c r="H7" i="1"/>
  <c r="H6" i="1"/>
</calcChain>
</file>

<file path=xl/sharedStrings.xml><?xml version="1.0" encoding="utf-8"?>
<sst xmlns="http://schemas.openxmlformats.org/spreadsheetml/2006/main" count="599" uniqueCount="138">
  <si>
    <t>A-TOWN POKER</t>
  </si>
  <si>
    <t>Edit this workbook, save it, and the site build will regenerate the site data automatically.</t>
  </si>
  <si>
    <t>HOW TO UPDATE THE SITE</t>
  </si>
  <si>
    <t>WORKBOOK SNAPSHOT</t>
  </si>
  <si>
    <t>Add or edit an event on the Tournaments or Cash Games sheet.</t>
  </si>
  <si>
    <t>Tournaments</t>
  </si>
  <si>
    <t>Add one row per player on the matching Results sheet; optional tournament elimination details may stay blank.</t>
  </si>
  <si>
    <t>Add one row per player on the matching Results sheet, using the exact event ID.</t>
  </si>
  <si>
    <t>Upcoming tournaments</t>
  </si>
  <si>
    <t>Write optional event notes in the Notes column.</t>
  </si>
  <si>
    <t>Cash games</t>
  </si>
  <si>
    <t>Add photos on Event Photos; place local image files in public/photos.</t>
  </si>
  <si>
    <t>Event photos</t>
  </si>
  <si>
    <t>Add general or event-linked posts on Announcements.</t>
  </si>
  <si>
    <t>Announcements</t>
  </si>
  <si>
    <t>Save the workbook. The next site build validates it and refreshes the JSON files.</t>
  </si>
  <si>
    <t>Tracked player rows</t>
  </si>
  <si>
    <t>IMPORTANT RULES</t>
  </si>
  <si>
    <t>• Do not rename worksheets or column headers; the converter uses those names.</t>
  </si>
  <si>
    <t>• IDs and slugs must be unique. Follow the existing lowercase, hyphenated examples.</t>
  </si>
  <si>
    <t>• For tournament ties, enter T-1, T-2, and so on in the Placement column.</t>
  </si>
  <si>
    <t>• Completed events must balance: tournament payouts equal buy-ins, and cash-out totals equal buy-ins.</t>
  </si>
  <si>
    <t>• Use completed or upcoming exactly. Upcoming events require a Start Time.</t>
  </si>
  <si>
    <t>• Photo paths beginning with / must match a file under public; remote https:// image URLs are also supported.</t>
  </si>
  <si>
    <t>TOURNAMENTS</t>
  </si>
  <si>
    <t>One row per tournament. Start Time is required only when Status is upcoming; Notes are optional.</t>
  </si>
  <si>
    <t>Add new rows directly below the table. Notes are optional; keep the sheet name and column headers unchanged.</t>
  </si>
  <si>
    <t>Tournament ID</t>
  </si>
  <si>
    <t>Slug</t>
  </si>
  <si>
    <t>Title</t>
  </si>
  <si>
    <t>Date</t>
  </si>
  <si>
    <t>Host</t>
  </si>
  <si>
    <t>Status</t>
  </si>
  <si>
    <t>Start Time</t>
  </si>
  <si>
    <t>Initial Buy-In</t>
  </si>
  <si>
    <t>Notes</t>
  </si>
  <si>
    <t>tournament-2026-03-28</t>
  </si>
  <si>
    <t>March 2026 Tournament</t>
  </si>
  <si>
    <t>Nate F.</t>
  </si>
  <si>
    <t>completed</t>
  </si>
  <si>
    <t>tournament-2025-09-13</t>
  </si>
  <si>
    <t>September 2025 Tournament</t>
  </si>
  <si>
    <t>tournament-2026-08-01</t>
  </si>
  <si>
    <t>August 2026 Tournament</t>
  </si>
  <si>
    <t>tournament-2026-10-10</t>
  </si>
  <si>
    <t>October 2026 High-Stakes</t>
  </si>
  <si>
    <t>Matt O.</t>
  </si>
  <si>
    <t>upcoming</t>
  </si>
  <si>
    <t>TOURNAMENT RESULTS</t>
  </si>
  <si>
    <t>One row per player. Elimination details are optional; upcoming registrations leave placement and payout columns blank.</t>
  </si>
  <si>
    <t>Add new rows directly below the table. Optional elimination fields may stay blank; keep the sheet name and column headers unchanged.</t>
  </si>
  <si>
    <t>Player</t>
  </si>
  <si>
    <t>Total Buy-In</t>
  </si>
  <si>
    <t>Placement</t>
  </si>
  <si>
    <t>Placement Payout</t>
  </si>
  <si>
    <t>Bonus Payout</t>
  </si>
  <si>
    <t>Elimination Level</t>
  </si>
  <si>
    <t>Eliminated At</t>
  </si>
  <si>
    <t>Eliminated By</t>
  </si>
  <si>
    <t>Max A.</t>
  </si>
  <si>
    <t>T-1</t>
  </si>
  <si>
    <t>Joey E.</t>
  </si>
  <si>
    <t>Kyser E.</t>
  </si>
  <si>
    <t>Sofia M.</t>
  </si>
  <si>
    <t>Tony P.</t>
  </si>
  <si>
    <t>Noah S.</t>
  </si>
  <si>
    <t>Chase C.</t>
  </si>
  <si>
    <t>Liam M.</t>
  </si>
  <si>
    <t>Justin A.</t>
  </si>
  <si>
    <t>Nathan C.</t>
  </si>
  <si>
    <t>Luke K.</t>
  </si>
  <si>
    <t>Adam B.</t>
  </si>
  <si>
    <t>Sammy A.</t>
  </si>
  <si>
    <t>David P.</t>
  </si>
  <si>
    <t>Ben H.</t>
  </si>
  <si>
    <t>1</t>
  </si>
  <si>
    <t>Brian T.</t>
  </si>
  <si>
    <t>2</t>
  </si>
  <si>
    <t>Ethan N.</t>
  </si>
  <si>
    <t>CASH GAMES</t>
  </si>
  <si>
    <t>One row per cash game. Start Time is required only when Status is upcoming; Notes are optional.</t>
  </si>
  <si>
    <t>Cash Game ID</t>
  </si>
  <si>
    <t>cash-game-2026-07-15</t>
  </si>
  <si>
    <t>Wednesday 7/15/26</t>
  </si>
  <si>
    <t>cash-game-2026-07-18</t>
  </si>
  <si>
    <t>Saturday 7/18/26</t>
  </si>
  <si>
    <t>cash-game-2026-07-22</t>
  </si>
  <si>
    <t>Wednesday 7/22/26</t>
  </si>
  <si>
    <t>cash-game-2026-07-29</t>
  </si>
  <si>
    <t>Wednesday 7/29/26</t>
  </si>
  <si>
    <t>cash-game-2026-08-05</t>
  </si>
  <si>
    <t>Wednesday 8/5/26</t>
  </si>
  <si>
    <t>cash-game-2026-08-08</t>
  </si>
  <si>
    <t>Saturday 8/8/26</t>
  </si>
  <si>
    <t>cash-game-2026-08-12</t>
  </si>
  <si>
    <t>Wednesday 8/12/26</t>
  </si>
  <si>
    <t>CASH GAME RESULTS</t>
  </si>
  <si>
    <t>One row per player. Upcoming registrations leave Amount At End blank.</t>
  </si>
  <si>
    <t>Add new rows directly below the table. Keep the sheet name and column headers unchanged.</t>
  </si>
  <si>
    <t>Amount Buy-In</t>
  </si>
  <si>
    <t>Amount At End</t>
  </si>
  <si>
    <t>Max M.</t>
  </si>
  <si>
    <t>Ally K.</t>
  </si>
  <si>
    <t>EVENT PHOTOS</t>
  </si>
  <si>
    <t>Add one row per photo. Use the exact Tournament ID or Cash Game ID from the event sheet.</t>
  </si>
  <si>
    <t>Image Path example: /photos/game-night.jpg. Put local images in public/photos; Show on Home and Sort Order are optional.</t>
  </si>
  <si>
    <t>Event ID</t>
  </si>
  <si>
    <t>Image Path</t>
  </si>
  <si>
    <t>Caption</t>
  </si>
  <si>
    <t>Show on Home</t>
  </si>
  <si>
    <t>Sort Order</t>
  </si>
  <si>
    <t>/photos/september2025tourney.jpg</t>
  </si>
  <si>
    <t>September 2025 tournament winner: Kyser E., Joey E., Max A., and Matt O.</t>
  </si>
  <si>
    <t>Yes</t>
  </si>
  <si>
    <t>/photos/march2026tourney.jpg</t>
  </si>
  <si>
    <t>March 2026 tourament winner: Ben H.</t>
  </si>
  <si>
    <t>/photos/august2026tourney.jpg</t>
  </si>
  <si>
    <t>August 2026 tournament winner: Nathan C.</t>
  </si>
  <si>
    <t>/photos/luck-casino.avif</t>
  </si>
  <si>
    <t>No</t>
  </si>
  <si>
    <t>ANNOUNCEMENTS</t>
  </si>
  <si>
    <t>Add general homepage posts or link a post to one tournament or cash game.</t>
  </si>
  <si>
    <t>Leave Event ID blank for a general post. Expires and Pinned are optional; expired posts stay out of current homepage announcements.</t>
  </si>
  <si>
    <t>Announcement ID</t>
  </si>
  <si>
    <t>Body</t>
  </si>
  <si>
    <t>Expires</t>
  </si>
  <si>
    <t>Pinned</t>
  </si>
  <si>
    <t>october-tourney-announcement</t>
  </si>
  <si>
    <t>Save the Date: October 10th High-Stakes Tournamet</t>
  </si>
  <si>
    <t>I will be hosting a $50 buy-in tournament on October 10th at 6:30 PM. Please RSVP via Partiful. If you'd like an invite, shoot me a message.</t>
  </si>
  <si>
    <t>september-tourney-note</t>
  </si>
  <si>
    <t>Note</t>
  </si>
  <si>
    <t>Buy-in amounts and placements are approximate. If you have a more accurate recollection, let me know!</t>
  </si>
  <si>
    <t>march-tourney-note</t>
  </si>
  <si>
    <t>8 PM</t>
  </si>
  <si>
    <t>Saturday 8/15</t>
  </si>
  <si>
    <t>cash-game-2026-08-15</t>
  </si>
  <si>
    <t>Calvin 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</si>
</sst>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m/d/yy;@"/>
    <numFmt numFmtId="166" formatCode="\$#,##0.00"/>
  </numFmts>
  <fonts count="13">
    <font>
      <sz val="11"/>
      <name val="Carlito"/>
    </font>
    <font>
      <b/>
      <sz val="24"/>
      <color rgb="FFFFFFFF"/>
      <name val="Aptos Display"/>
    </font>
    <font>
      <sz val="11"/>
      <color rgb="FF17231D"/>
      <name val="Aptos"/>
    </font>
    <font>
      <b/>
      <sz val="10"/>
      <color rgb="FFFFFFFF"/>
      <name val="Aptos"/>
    </font>
    <font>
      <b/>
      <sz val="11"/>
      <color rgb="FF17231D"/>
      <name val="Aptos"/>
    </font>
    <font>
      <sz val="10"/>
      <color rgb="FF17231D"/>
      <name val="Aptos"/>
    </font>
    <font>
      <sz val="10"/>
      <color rgb="FF66736D"/>
      <name val="Aptos"/>
    </font>
    <font>
      <b/>
      <sz val="12"/>
      <color rgb="FF173F32"/>
      <name val="Aptos"/>
    </font>
    <font>
      <b/>
      <sz val="12"/>
      <color rgb="FFFFFFFF"/>
      <name val="Aptos"/>
    </font>
    <font>
      <sz val="12"/>
      <name val="Aptos"/>
    </font>
    <font>
      <i/>
      <sz val="12"/>
      <color rgb="FF17231D"/>
      <name val="Aptos"/>
    </font>
    <font>
      <sz val="12"/>
      <color rgb="FF66736D"/>
      <name val="Aptos"/>
    </font>
    <font>
      <sz val="12"/>
      <color rgb="FF17231D"/>
      <name val="Aptos"/>
    </font>
  </fonts>
  <fills count="15">
    <fill>
      <patternFill patternType="none"/>
    </fill>
    <fill>
      <patternFill patternType="gray125"/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2E6A52"/>
      </patternFill>
    </fill>
    <fill>
      <patternFill patternType="solid">
        <fgColor rgb="FFF2F7F4"/>
      </patternFill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F2F7F4"/>
      </patternFill>
    </fill>
    <fill>
      <patternFill patternType="solid">
        <fgColor rgb="FF2E6A52"/>
      </patternFill>
    </fill>
    <fill>
      <patternFill patternType="solid">
        <fgColor rgb="FFC4A45D"/>
      </patternFill>
    </fill>
    <fill>
      <patternFill patternType="solid">
        <fgColor rgb="FFFFFFFF"/>
      </patternFill>
    </fill>
    <fill>
      <patternFill patternType="solid">
        <fgColor rgb="FF2E6A52"/>
      </patternFill>
    </fill>
    <fill>
      <patternFill patternType="solid">
        <fgColor rgb="FFC6EFCE"/>
      </patternFill>
    </fill>
    <fill>
      <patternFill patternType="solid">
        <fgColor rgb="FFFFFFFF"/>
      </patternFill>
    </fill>
  </fills>
  <borders count="14">
    <border>
      <left/>
      <right/>
      <top/>
      <bottom/>
      <diagonal/>
    </border>
    <border>
      <left style="thin">
        <color rgb="FF173F32"/>
      </left>
      <right/>
      <top style="thin">
        <color rgb="FF173F32"/>
      </top>
      <bottom style="thin">
        <color rgb="FF173F32"/>
      </bottom>
      <diagonal/>
    </border>
    <border>
      <left/>
      <right/>
      <top style="thin">
        <color rgb="FF173F32"/>
      </top>
      <bottom style="thin">
        <color rgb="FF173F32"/>
      </bottom>
      <diagonal/>
    </border>
    <border>
      <left/>
      <right style="thin">
        <color rgb="FF173F32"/>
      </right>
      <top style="thin">
        <color rgb="FF173F32"/>
      </top>
      <bottom style="thin">
        <color rgb="FF173F32"/>
      </bottom>
      <diagonal/>
    </border>
    <border>
      <left/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/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/>
      <top style="thin">
        <color rgb="FFC9D6CF"/>
      </top>
      <bottom style="thin">
        <color rgb="FFC9D6CF"/>
      </bottom>
      <diagonal/>
    </border>
    <border>
      <left/>
      <right style="thin">
        <color rgb="FFE3EAE6"/>
      </right>
      <top/>
      <bottom/>
      <diagonal/>
    </border>
    <border>
      <left style="thin">
        <color rgb="FF173F32"/>
      </left>
      <right style="thin">
        <color rgb="FF173F32"/>
      </right>
      <top style="thin">
        <color rgb="FF173F32"/>
      </top>
      <bottom style="thin">
        <color rgb="FF173F32"/>
      </bottom>
      <diagonal/>
    </border>
    <border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 style="thin">
        <color rgb="FFC9D6CF"/>
      </right>
      <top/>
      <bottom style="thin">
        <color rgb="FFC9D6CF"/>
      </bottom>
      <diagonal/>
    </border>
    <border>
      <left style="thin">
        <color rgb="FFE3EAE6"/>
      </left>
      <right style="thin">
        <color rgb="FFC9D6CF"/>
      </right>
      <top style="thin">
        <color rgb="FFC9D6CF"/>
      </top>
      <bottom style="thin">
        <color rgb="FFC9D6CF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9" fillId="0" borderId="0" xfId="0" applyFont="1"/>
    <xf numFmtId="0" fontId="8" fillId="4" borderId="1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164" fontId="8" fillId="4" borderId="2" xfId="0" applyNumberFormat="1" applyFont="1" applyFill="1" applyBorder="1" applyAlignment="1">
      <alignment horizontal="left" vertical="center" wrapText="1"/>
    </xf>
    <xf numFmtId="164" fontId="8" fillId="4" borderId="3" xfId="0" applyNumberFormat="1" applyFont="1" applyFill="1" applyBorder="1" applyAlignment="1">
      <alignment horizontal="left" vertical="center" wrapText="1"/>
    </xf>
    <xf numFmtId="49" fontId="12" fillId="0" borderId="4" xfId="0" applyNumberFormat="1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164" fontId="12" fillId="0" borderId="5" xfId="0" applyNumberFormat="1" applyFont="1" applyBorder="1" applyAlignment="1">
      <alignment vertical="center"/>
    </xf>
    <xf numFmtId="164" fontId="12" fillId="0" borderId="6" xfId="0" applyNumberFormat="1" applyFont="1" applyBorder="1" applyAlignment="1">
      <alignment vertical="center"/>
    </xf>
    <xf numFmtId="0" fontId="12" fillId="0" borderId="7" xfId="0" applyFont="1" applyBorder="1" applyAlignment="1">
      <alignment vertical="center"/>
    </xf>
    <xf numFmtId="164" fontId="12" fillId="0" borderId="7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49" fontId="12" fillId="0" borderId="9" xfId="0" applyNumberFormat="1" applyFont="1" applyBorder="1" applyAlignment="1">
      <alignment vertical="center"/>
    </xf>
    <xf numFmtId="164" fontId="9" fillId="0" borderId="0" xfId="0" applyNumberFormat="1" applyFont="1"/>
    <xf numFmtId="0" fontId="8" fillId="4" borderId="2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5" xfId="0" applyFont="1" applyBorder="1"/>
    <xf numFmtId="0" fontId="12" fillId="0" borderId="0" xfId="0" applyFont="1" applyAlignment="1">
      <alignment vertical="center"/>
    </xf>
    <xf numFmtId="0" fontId="9" fillId="0" borderId="7" xfId="0" applyFont="1" applyBorder="1"/>
    <xf numFmtId="164" fontId="9" fillId="0" borderId="5" xfId="0" applyNumberFormat="1" applyFont="1" applyBorder="1"/>
    <xf numFmtId="164" fontId="12" fillId="0" borderId="0" xfId="0" applyNumberFormat="1" applyFont="1" applyAlignment="1">
      <alignment vertical="center"/>
    </xf>
    <xf numFmtId="164" fontId="9" fillId="0" borderId="7" xfId="0" applyNumberFormat="1" applyFont="1" applyBorder="1"/>
    <xf numFmtId="0" fontId="9" fillId="0" borderId="5" xfId="0" applyFont="1" applyBorder="1" applyAlignment="1">
      <alignment horizontal="center"/>
    </xf>
    <xf numFmtId="49" fontId="12" fillId="0" borderId="0" xfId="0" applyNumberFormat="1" applyFont="1" applyAlignment="1">
      <alignment horizontal="center" vertical="center"/>
    </xf>
    <xf numFmtId="0" fontId="9" fillId="0" borderId="7" xfId="0" applyFont="1" applyBorder="1" applyAlignment="1">
      <alignment horizontal="center"/>
    </xf>
    <xf numFmtId="165" fontId="12" fillId="0" borderId="5" xfId="0" applyNumberFormat="1" applyFont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2" fillId="0" borderId="0" xfId="0" applyFont="1"/>
    <xf numFmtId="164" fontId="8" fillId="4" borderId="3" xfId="0" applyNumberFormat="1" applyFont="1" applyFill="1" applyBorder="1" applyAlignment="1">
      <alignment horizontal="center" vertical="center" wrapText="1"/>
    </xf>
    <xf numFmtId="164" fontId="12" fillId="0" borderId="6" xfId="0" applyNumberFormat="1" applyFont="1" applyBorder="1" applyAlignment="1">
      <alignment horizontal="center" vertical="center"/>
    </xf>
    <xf numFmtId="164" fontId="12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0" fontId="8" fillId="9" borderId="10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1" fontId="0" fillId="0" borderId="0" xfId="0" applyNumberFormat="1"/>
    <xf numFmtId="0" fontId="4" fillId="10" borderId="0" xfId="0" applyFont="1" applyFill="1" applyAlignment="1">
      <alignment horizontal="center" vertical="center"/>
    </xf>
    <xf numFmtId="1" fontId="7" fillId="8" borderId="11" xfId="0" applyNumberFormat="1" applyFont="1" applyFill="1" applyBorder="1" applyAlignment="1">
      <alignment horizontal="right" vertical="center"/>
    </xf>
    <xf numFmtId="1" fontId="7" fillId="11" borderId="11" xfId="0" applyNumberFormat="1" applyFont="1" applyFill="1" applyBorder="1" applyAlignment="1">
      <alignment horizontal="right" vertical="center"/>
    </xf>
    <xf numFmtId="0" fontId="8" fillId="12" borderId="10" xfId="0" applyFont="1" applyFill="1" applyBorder="1" applyAlignment="1">
      <alignment horizontal="left" vertical="center" wrapText="1"/>
    </xf>
    <xf numFmtId="164" fontId="8" fillId="12" borderId="10" xfId="0" applyNumberFormat="1" applyFont="1" applyFill="1" applyBorder="1" applyAlignment="1">
      <alignment horizontal="left" vertical="center" wrapText="1"/>
    </xf>
    <xf numFmtId="164" fontId="12" fillId="13" borderId="5" xfId="0" applyNumberFormat="1" applyFont="1" applyFill="1" applyBorder="1" applyAlignment="1">
      <alignment horizontal="right" vertical="center"/>
    </xf>
    <xf numFmtId="164" fontId="12" fillId="14" borderId="7" xfId="0" applyNumberFormat="1" applyFont="1" applyFill="1" applyBorder="1" applyAlignment="1">
      <alignment horizontal="right" vertical="center"/>
    </xf>
    <xf numFmtId="164" fontId="12" fillId="13" borderId="7" xfId="0" applyNumberFormat="1" applyFont="1" applyFill="1" applyBorder="1" applyAlignment="1">
      <alignment horizontal="right" vertical="center"/>
    </xf>
    <xf numFmtId="0" fontId="12" fillId="13" borderId="5" xfId="0" applyFont="1" applyFill="1" applyBorder="1" applyAlignment="1">
      <alignment horizontal="left" vertical="center"/>
    </xf>
    <xf numFmtId="0" fontId="12" fillId="14" borderId="7" xfId="0" applyFont="1" applyFill="1" applyBorder="1" applyAlignment="1">
      <alignment horizontal="left" vertical="center"/>
    </xf>
    <xf numFmtId="0" fontId="12" fillId="13" borderId="7" xfId="0" applyFont="1" applyFill="1" applyBorder="1" applyAlignment="1">
      <alignment horizontal="left" vertical="center"/>
    </xf>
    <xf numFmtId="18" fontId="12" fillId="13" borderId="5" xfId="0" applyNumberFormat="1" applyFont="1" applyFill="1" applyBorder="1" applyAlignment="1">
      <alignment horizontal="left" vertical="center"/>
    </xf>
    <xf numFmtId="49" fontId="12" fillId="13" borderId="12" xfId="0" applyNumberFormat="1" applyFont="1" applyFill="1" applyBorder="1" applyAlignment="1">
      <alignment horizontal="left" vertical="center"/>
    </xf>
    <xf numFmtId="18" fontId="12" fillId="14" borderId="7" xfId="0" applyNumberFormat="1" applyFont="1" applyFill="1" applyBorder="1" applyAlignment="1">
      <alignment horizontal="left" vertical="center"/>
    </xf>
    <xf numFmtId="49" fontId="12" fillId="14" borderId="13" xfId="0" applyNumberFormat="1" applyFont="1" applyFill="1" applyBorder="1" applyAlignment="1">
      <alignment horizontal="left" vertical="center"/>
    </xf>
    <xf numFmtId="18" fontId="12" fillId="13" borderId="7" xfId="0" applyNumberFormat="1" applyFont="1" applyFill="1" applyBorder="1" applyAlignment="1">
      <alignment horizontal="left" vertical="center"/>
    </xf>
    <xf numFmtId="49" fontId="12" fillId="13" borderId="13" xfId="0" applyNumberFormat="1" applyFont="1" applyFill="1" applyBorder="1" applyAlignment="1">
      <alignment horizontal="left" vertical="center"/>
    </xf>
    <xf numFmtId="0" fontId="9" fillId="0" borderId="0" xfId="0" applyFont="1" applyAlignment="1">
      <alignment wrapText="1"/>
    </xf>
    <xf numFmtId="49" fontId="9" fillId="0" borderId="9" xfId="0" applyNumberFormat="1" applyFont="1" applyBorder="1" applyAlignment="1">
      <alignment vertical="center"/>
    </xf>
    <xf numFmtId="14" fontId="9" fillId="0" borderId="0" xfId="0" applyNumberFormat="1" applyFont="1"/>
    <xf numFmtId="16" fontId="9" fillId="0" borderId="0" xfId="0" applyNumberFormat="1" applyFont="1"/>
    <xf numFmtId="49" fontId="12" fillId="0" borderId="9" xfId="0" applyNumberFormat="1" applyFont="1" applyBorder="1"/>
    <xf numFmtId="166" fontId="12" fillId="0" borderId="5" xfId="0" applyNumberFormat="1" applyFont="1" applyBorder="1" applyAlignment="1">
      <alignment horizontal="center" vertical="center"/>
    </xf>
    <xf numFmtId="166" fontId="0" fillId="0" borderId="0" xfId="0" applyNumberFormat="1"/>
    <xf numFmtId="166" fontId="9" fillId="0" borderId="0" xfId="0" applyNumberFormat="1" applyFont="1"/>
    <xf numFmtId="166" fontId="12" fillId="0" borderId="0" xfId="0" applyNumberFormat="1" applyFont="1"/>
    <xf numFmtId="18" fontId="0" fillId="0" borderId="0" xfId="0" applyNumberFormat="1"/>
    <xf numFmtId="0" fontId="1" fillId="6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3" fillId="9" borderId="0" xfId="0" applyFont="1" applyFill="1" applyAlignment="1">
      <alignment vertical="center"/>
    </xf>
    <xf numFmtId="0" fontId="5" fillId="8" borderId="11" xfId="0" applyFont="1" applyFill="1" applyBorder="1" applyAlignment="1">
      <alignment vertical="center" wrapText="1"/>
    </xf>
    <xf numFmtId="0" fontId="6" fillId="8" borderId="11" xfId="0" applyFont="1" applyFill="1" applyBorder="1" applyAlignment="1">
      <alignment vertical="center"/>
    </xf>
    <xf numFmtId="0" fontId="5" fillId="11" borderId="11" xfId="0" applyFont="1" applyFill="1" applyBorder="1" applyAlignment="1">
      <alignment vertical="center" wrapText="1"/>
    </xf>
    <xf numFmtId="0" fontId="6" fillId="11" borderId="11" xfId="0" applyFont="1" applyFill="1" applyBorder="1" applyAlignment="1">
      <alignment vertical="center"/>
    </xf>
    <xf numFmtId="0" fontId="3" fillId="9" borderId="0" xfId="0" applyFont="1" applyFill="1"/>
    <xf numFmtId="0" fontId="8" fillId="6" borderId="0" xfId="0" applyFont="1" applyFill="1" applyAlignment="1">
      <alignment vertical="center"/>
    </xf>
    <xf numFmtId="0" fontId="10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8" fillId="2" borderId="0" xfId="0" applyFont="1" applyFill="1" applyAlignment="1">
      <alignment vertical="center"/>
    </xf>
    <xf numFmtId="0" fontId="9" fillId="0" borderId="0" xfId="0" applyFont="1"/>
    <xf numFmtId="0" fontId="10" fillId="3" borderId="0" xfId="0" applyFont="1" applyFill="1" applyAlignment="1">
      <alignment vertical="center" wrapText="1"/>
    </xf>
    <xf numFmtId="0" fontId="9" fillId="0" borderId="0" xfId="0" applyFont="1" applyAlignment="1">
      <alignment wrapText="1"/>
    </xf>
    <xf numFmtId="0" fontId="11" fillId="5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/>
    </xf>
  </cellXfs>
  <cellStyles count="1">
    <cellStyle name="Normal" xfId="0" builtinId="0"/>
  </cellStyles>
  <dxfs count="28"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 patternType="solid">
          <bgColor rgb="FFE5E7EB"/>
        </patternFill>
      </fill>
    </dxf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 patternType="solid">
          <bgColor rgb="FFE5E7EB"/>
        </patternFill>
      </fill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auto="1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rgb="FF17231D"/>
        <name val="Aptos"/>
        <scheme val="none"/>
      </font>
      <numFmt numFmtId="30" formatCode="@"/>
      <border>
        <left/>
        <right style="thin">
          <color rgb="FFE3EAE6"/>
        </right>
        <top/>
        <bottom/>
      </border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0000000}" name="TournamentsTable" displayName="TournamentsTable" ref="A4:I8" totalsRowShown="0">
  <tableColumns count="9">
    <tableColumn id="1" xr3:uid="{00000000-0010-0000-0000-000001000000}" name="Tournament ID"/>
    <tableColumn id="2" xr3:uid="{00000000-0010-0000-0000-000002000000}" name="Slug"/>
    <tableColumn id="3" xr3:uid="{00000000-0010-0000-0000-000003000000}" name="Title"/>
    <tableColumn id="4" xr3:uid="{00000000-0010-0000-0000-000004000000}" name="Date"/>
    <tableColumn id="5" xr3:uid="{00000000-0010-0000-0000-000005000000}" name="Host"/>
    <tableColumn id="6" xr3:uid="{00000000-0010-0000-0000-000006000000}" name="Status"/>
    <tableColumn id="7" xr3:uid="{00000000-0010-0000-0000-000007000000}" name="Start Time"/>
    <tableColumn id="8" xr3:uid="{00000000-0010-0000-0000-000008000000}" name="Initial Buy-In"/>
    <tableColumn id="9" xr3:uid="{00000000-0010-0000-0000-000009000000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ournamentResultsTable" displayName="TournamentResultsTable" ref="A4:I48" totalsRowShown="0" dataDxfId="27">
  <tableColumns count="9">
    <tableColumn id="1" xr3:uid="{00000000-0010-0000-0100-000001000000}" name="Tournament ID" dataDxfId="26"/>
    <tableColumn id="2" xr3:uid="{00000000-0010-0000-0100-000002000000}" name="Player" dataDxfId="25"/>
    <tableColumn id="3" xr3:uid="{00000000-0010-0000-0100-000003000000}" name="Total Buy-In" dataDxfId="24"/>
    <tableColumn id="4" xr3:uid="{00000000-0010-0000-0100-000004000000}" name="Placement" dataDxfId="23"/>
    <tableColumn id="5" xr3:uid="{00000000-0010-0000-0100-000005000000}" name="Placement Payout" dataDxfId="22"/>
    <tableColumn id="6" xr3:uid="{00000000-0010-0000-0100-000006000000}" name="Bonus Payout" dataDxfId="21"/>
    <tableColumn id="7" xr3:uid="{00000000-0010-0000-0100-000007000000}" name="Elimination Level" dataDxfId="20"/>
    <tableColumn id="9" xr3:uid="{00000000-0010-0000-0100-000009000000}" name="Eliminated At" dataDxfId="19"/>
    <tableColumn id="10" xr3:uid="{00000000-0010-0000-0100-00000A000000}" name="Eliminated By" dataDxfId="18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2000000}" name="CashGamesTable" displayName="CashGamesTable" ref="A4:I12" totalsRowShown="0">
  <tableColumns count="9">
    <tableColumn id="1" xr3:uid="{00000000-0010-0000-0200-000001000000}" name="Cash Game ID"/>
    <tableColumn id="2" xr3:uid="{00000000-0010-0000-0200-000002000000}" name="Slug"/>
    <tableColumn id="3" xr3:uid="{00000000-0010-0000-0200-000003000000}" name="Title"/>
    <tableColumn id="4" xr3:uid="{00000000-0010-0000-0200-000004000000}" name="Date"/>
    <tableColumn id="5" xr3:uid="{00000000-0010-0000-0200-000005000000}" name="Host"/>
    <tableColumn id="6" xr3:uid="{00000000-0010-0000-0200-000006000000}" name="Status"/>
    <tableColumn id="7" xr3:uid="{00000000-0010-0000-0200-000007000000}" name="Start Time"/>
    <tableColumn id="8" xr3:uid="{00000000-0010-0000-0200-000008000000}" name="Initial Buy-In"/>
    <tableColumn id="9" xr3:uid="{00000000-0010-0000-0200-000009000000}" name="Note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shGameResultsTable" displayName="CashGameResultsTable" ref="A4:D74" totalsRowShown="0" dataDxfId="17">
  <sortState xmlns:xlrd2="http://schemas.microsoft.com/office/spreadsheetml/2017/richdata2" ref="A5:D21">
    <sortCondition ref="A15:A21"/>
  </sortState>
  <tableColumns count="4">
    <tableColumn id="1" xr3:uid="{00000000-0010-0000-0300-000001000000}" name="Cash Game ID" dataDxfId="16"/>
    <tableColumn id="2" xr3:uid="{00000000-0010-0000-0300-000002000000}" name="Player" dataDxfId="15"/>
    <tableColumn id="3" xr3:uid="{00000000-0010-0000-0300-000003000000}" name="Amount Buy-In" dataDxfId="14"/>
    <tableColumn id="4" xr3:uid="{00000000-0010-0000-0300-000004000000}" name="Amount At End" dataDxfId="13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EventPhotosTable" displayName="EventPhotosTable" ref="A4:E8" totalsRowShown="0">
  <autoFilter ref="A4:E8" xr:uid="{00000000-0009-0000-0100-000007000000}"/>
  <tableColumns count="5">
    <tableColumn id="1" xr3:uid="{00000000-0010-0000-0400-000001000000}" name="Event ID" dataDxfId="12"/>
    <tableColumn id="2" xr3:uid="{00000000-0010-0000-0400-000002000000}" name="Image Path"/>
    <tableColumn id="3" xr3:uid="{00000000-0010-0000-0400-000003000000}" name="Caption"/>
    <tableColumn id="4" xr3:uid="{00000000-0010-0000-0400-000004000000}" name="Show on Home"/>
    <tableColumn id="5" xr3:uid="{00000000-0010-0000-0400-000005000000}" name="Sort Order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AnnouncementsTable" displayName="AnnouncementsTable" ref="A4:G7" totalsRowShown="0" dataDxfId="11">
  <autoFilter ref="A4:G7" xr:uid="{00000000-0009-0000-0100-000008000000}"/>
  <tableColumns count="7">
    <tableColumn id="1" xr3:uid="{00000000-0010-0000-0500-000001000000}" name="Announcement ID" dataDxfId="10"/>
    <tableColumn id="2" xr3:uid="{00000000-0010-0000-0500-000002000000}" name="Date" dataDxfId="9"/>
    <tableColumn id="3" xr3:uid="{00000000-0010-0000-0500-000003000000}" name="Title" dataDxfId="8"/>
    <tableColumn id="4" xr3:uid="{00000000-0010-0000-0500-000004000000}" name="Body" dataDxfId="7"/>
    <tableColumn id="5" xr3:uid="{00000000-0010-0000-0500-000005000000}" name="Event ID" dataDxfId="6"/>
    <tableColumn id="6" xr3:uid="{00000000-0010-0000-0500-000006000000}" name="Expires" dataDxfId="5"/>
    <tableColumn id="7" xr3:uid="{00000000-0010-0000-0500-000007000000}" name="Pinned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showGridLines="0" workbookViewId="0">
      <selection sqref="A1:H2"/>
    </sheetView>
  </sheetViews>
  <sheetFormatPr baseColWidth="10" defaultColWidth="8.83203125" defaultRowHeight="14"/>
  <cols>
    <col min="1" max="1" width="7" customWidth="1"/>
    <col min="2" max="5" width="18" customWidth="1"/>
    <col min="6" max="7" width="16" customWidth="1"/>
    <col min="8" max="8" width="12" customWidth="1"/>
  </cols>
  <sheetData>
    <row r="1" spans="1:8" ht="28" customHeight="1">
      <c r="A1" s="66" t="s">
        <v>0</v>
      </c>
      <c r="B1" s="66" t="s">
        <v>0</v>
      </c>
      <c r="C1" s="66" t="s">
        <v>0</v>
      </c>
      <c r="D1" s="66" t="s">
        <v>0</v>
      </c>
      <c r="E1" s="66" t="s">
        <v>0</v>
      </c>
      <c r="F1" s="66" t="s">
        <v>0</v>
      </c>
      <c r="G1" s="66" t="s">
        <v>0</v>
      </c>
      <c r="H1" s="66" t="s">
        <v>0</v>
      </c>
    </row>
    <row r="2" spans="1:8" ht="28" customHeight="1">
      <c r="A2" s="66" t="s">
        <v>0</v>
      </c>
      <c r="B2" s="66" t="s">
        <v>0</v>
      </c>
      <c r="C2" s="66" t="s">
        <v>0</v>
      </c>
      <c r="D2" s="66" t="s">
        <v>0</v>
      </c>
      <c r="E2" s="66" t="s">
        <v>0</v>
      </c>
      <c r="F2" s="66" t="s">
        <v>0</v>
      </c>
      <c r="G2" s="66" t="s">
        <v>0</v>
      </c>
      <c r="H2" s="66" t="s">
        <v>0</v>
      </c>
    </row>
    <row r="3" spans="1:8" ht="24" customHeight="1">
      <c r="A3" s="67" t="s">
        <v>1</v>
      </c>
      <c r="B3" s="67" t="s">
        <v>1</v>
      </c>
      <c r="C3" s="67" t="s">
        <v>1</v>
      </c>
      <c r="D3" s="67" t="s">
        <v>1</v>
      </c>
      <c r="E3" s="67" t="s">
        <v>1</v>
      </c>
      <c r="F3" s="67" t="s">
        <v>1</v>
      </c>
      <c r="G3" s="67" t="s">
        <v>1</v>
      </c>
      <c r="H3" s="67" t="s">
        <v>1</v>
      </c>
    </row>
    <row r="5" spans="1:8" ht="25" customHeight="1">
      <c r="A5" s="68" t="s">
        <v>2</v>
      </c>
      <c r="B5" s="68" t="s">
        <v>2</v>
      </c>
      <c r="C5" s="68" t="s">
        <v>2</v>
      </c>
      <c r="D5" s="68" t="s">
        <v>2</v>
      </c>
      <c r="E5" s="68" t="s">
        <v>2</v>
      </c>
      <c r="F5" s="68" t="s">
        <v>3</v>
      </c>
      <c r="G5" s="68" t="s">
        <v>3</v>
      </c>
      <c r="H5" s="68" t="s">
        <v>3</v>
      </c>
    </row>
    <row r="6" spans="1:8" ht="30" customHeight="1">
      <c r="A6" s="39">
        <v>1</v>
      </c>
      <c r="B6" s="69" t="s">
        <v>4</v>
      </c>
      <c r="C6" s="69" t="s">
        <v>4</v>
      </c>
      <c r="D6" s="69" t="s">
        <v>4</v>
      </c>
      <c r="E6" s="69" t="s">
        <v>4</v>
      </c>
      <c r="F6" s="70" t="s">
        <v>5</v>
      </c>
      <c r="G6" s="70" t="s">
        <v>5</v>
      </c>
      <c r="H6" s="40">
        <f>COUNTA(Tournaments!A5:A500)</f>
        <v>4</v>
      </c>
    </row>
    <row r="7" spans="1:8" ht="30" customHeight="1">
      <c r="A7" s="39">
        <v>2</v>
      </c>
      <c r="B7" s="71" t="s">
        <v>6</v>
      </c>
      <c r="C7" s="71" t="s">
        <v>7</v>
      </c>
      <c r="D7" s="71" t="s">
        <v>7</v>
      </c>
      <c r="E7" s="71" t="s">
        <v>7</v>
      </c>
      <c r="F7" s="72" t="s">
        <v>8</v>
      </c>
      <c r="G7" s="72" t="s">
        <v>8</v>
      </c>
      <c r="H7" s="41">
        <f>COUNTIF(Tournaments!F5:F500,"upcoming")</f>
        <v>1</v>
      </c>
    </row>
    <row r="8" spans="1:8" ht="30" customHeight="1">
      <c r="A8" s="39">
        <v>3</v>
      </c>
      <c r="B8" s="69" t="s">
        <v>9</v>
      </c>
      <c r="C8" s="69" t="s">
        <v>9</v>
      </c>
      <c r="D8" s="69" t="s">
        <v>9</v>
      </c>
      <c r="E8" s="69" t="s">
        <v>9</v>
      </c>
      <c r="F8" s="70" t="s">
        <v>10</v>
      </c>
      <c r="G8" s="70" t="s">
        <v>10</v>
      </c>
      <c r="H8" s="40">
        <f>COUNTA('Cash Games'!A5:A500)</f>
        <v>8</v>
      </c>
    </row>
    <row r="9" spans="1:8" ht="30" customHeight="1">
      <c r="A9" s="39">
        <v>4</v>
      </c>
      <c r="B9" s="71" t="s">
        <v>11</v>
      </c>
      <c r="C9" s="71" t="s">
        <v>11</v>
      </c>
      <c r="D9" s="71" t="s">
        <v>11</v>
      </c>
      <c r="E9" s="71" t="s">
        <v>11</v>
      </c>
      <c r="F9" s="72" t="s">
        <v>12</v>
      </c>
      <c r="G9" s="72" t="s">
        <v>12</v>
      </c>
      <c r="H9" s="41">
        <f>COUNTA('Event Photos'!A5:A500)</f>
        <v>4</v>
      </c>
    </row>
    <row r="10" spans="1:8" ht="30" customHeight="1">
      <c r="A10" s="39">
        <v>5</v>
      </c>
      <c r="B10" s="69" t="s">
        <v>13</v>
      </c>
      <c r="C10" s="69" t="s">
        <v>13</v>
      </c>
      <c r="D10" s="69" t="s">
        <v>13</v>
      </c>
      <c r="E10" s="69" t="s">
        <v>13</v>
      </c>
      <c r="F10" s="70" t="s">
        <v>14</v>
      </c>
      <c r="G10" s="70" t="s">
        <v>14</v>
      </c>
      <c r="H10" s="40">
        <f>COUNTA(Announcements!A5:A500)</f>
        <v>3</v>
      </c>
    </row>
    <row r="11" spans="1:8" ht="30" customHeight="1">
      <c r="A11" s="39">
        <v>6</v>
      </c>
      <c r="B11" s="71" t="s">
        <v>15</v>
      </c>
      <c r="C11" s="71" t="s">
        <v>15</v>
      </c>
      <c r="D11" s="71" t="s">
        <v>15</v>
      </c>
      <c r="E11" s="71" t="s">
        <v>15</v>
      </c>
      <c r="F11" s="72" t="s">
        <v>16</v>
      </c>
      <c r="G11" s="72" t="s">
        <v>16</v>
      </c>
      <c r="H11" s="41">
        <f>COUNTA('Tournament Results'!A5:A511)+COUNTA('Cash Game Results'!A5:A500)</f>
        <v>114</v>
      </c>
    </row>
    <row r="13" spans="1:8" ht="28" customHeight="1"/>
    <row r="14" spans="1:8" ht="28" customHeight="1">
      <c r="A14" s="73" t="s">
        <v>17</v>
      </c>
      <c r="B14" s="73" t="s">
        <v>17</v>
      </c>
      <c r="C14" s="73" t="s">
        <v>17</v>
      </c>
      <c r="D14" s="73" t="s">
        <v>17</v>
      </c>
      <c r="E14" s="73" t="s">
        <v>17</v>
      </c>
      <c r="F14" s="73" t="s">
        <v>17</v>
      </c>
      <c r="G14" s="73" t="s">
        <v>17</v>
      </c>
      <c r="H14" s="73" t="s">
        <v>17</v>
      </c>
    </row>
    <row r="15" spans="1:8" ht="24" customHeight="1">
      <c r="A15" s="69" t="s">
        <v>18</v>
      </c>
      <c r="B15" s="69" t="s">
        <v>18</v>
      </c>
      <c r="C15" s="69" t="s">
        <v>18</v>
      </c>
      <c r="D15" s="69" t="s">
        <v>18</v>
      </c>
      <c r="E15" s="69" t="s">
        <v>18</v>
      </c>
      <c r="F15" s="69" t="s">
        <v>18</v>
      </c>
      <c r="G15" s="69" t="s">
        <v>18</v>
      </c>
      <c r="H15" s="69" t="s">
        <v>18</v>
      </c>
    </row>
    <row r="16" spans="1:8" ht="24" customHeight="1">
      <c r="A16" s="71" t="s">
        <v>19</v>
      </c>
      <c r="B16" s="71" t="s">
        <v>19</v>
      </c>
      <c r="C16" s="71" t="s">
        <v>19</v>
      </c>
      <c r="D16" s="71" t="s">
        <v>19</v>
      </c>
      <c r="E16" s="71" t="s">
        <v>19</v>
      </c>
      <c r="F16" s="71" t="s">
        <v>19</v>
      </c>
      <c r="G16" s="71" t="s">
        <v>19</v>
      </c>
      <c r="H16" s="71" t="s">
        <v>19</v>
      </c>
    </row>
    <row r="17" spans="1:8" ht="24" customHeight="1">
      <c r="A17" s="69" t="s">
        <v>20</v>
      </c>
      <c r="B17" s="69" t="s">
        <v>20</v>
      </c>
      <c r="C17" s="69" t="s">
        <v>20</v>
      </c>
      <c r="D17" s="69" t="s">
        <v>20</v>
      </c>
      <c r="E17" s="69" t="s">
        <v>20</v>
      </c>
      <c r="F17" s="69" t="s">
        <v>20</v>
      </c>
      <c r="G17" s="69" t="s">
        <v>20</v>
      </c>
      <c r="H17" s="69" t="s">
        <v>20</v>
      </c>
    </row>
    <row r="18" spans="1:8" ht="24" customHeight="1">
      <c r="A18" s="71" t="s">
        <v>21</v>
      </c>
      <c r="B18" s="71" t="s">
        <v>21</v>
      </c>
      <c r="C18" s="71" t="s">
        <v>21</v>
      </c>
      <c r="D18" s="71" t="s">
        <v>21</v>
      </c>
      <c r="E18" s="71" t="s">
        <v>21</v>
      </c>
      <c r="F18" s="71" t="s">
        <v>21</v>
      </c>
      <c r="G18" s="71" t="s">
        <v>21</v>
      </c>
      <c r="H18" s="71" t="s">
        <v>21</v>
      </c>
    </row>
    <row r="19" spans="1:8" ht="24" customHeight="1">
      <c r="A19" s="69" t="s">
        <v>22</v>
      </c>
      <c r="B19" s="69" t="s">
        <v>22</v>
      </c>
      <c r="C19" s="69" t="s">
        <v>22</v>
      </c>
      <c r="D19" s="69" t="s">
        <v>22</v>
      </c>
      <c r="E19" s="69" t="s">
        <v>22</v>
      </c>
      <c r="F19" s="69" t="s">
        <v>22</v>
      </c>
      <c r="G19" s="69" t="s">
        <v>22</v>
      </c>
      <c r="H19" s="69" t="s">
        <v>22</v>
      </c>
    </row>
    <row r="20" spans="1:8" ht="24" customHeight="1">
      <c r="A20" s="71" t="s">
        <v>23</v>
      </c>
      <c r="B20" s="71" t="s">
        <v>23</v>
      </c>
      <c r="C20" s="71" t="s">
        <v>23</v>
      </c>
      <c r="D20" s="71" t="s">
        <v>23</v>
      </c>
      <c r="E20" s="71" t="s">
        <v>23</v>
      </c>
      <c r="F20" s="71" t="s">
        <v>23</v>
      </c>
      <c r="G20" s="71" t="s">
        <v>23</v>
      </c>
      <c r="H20" s="71" t="s">
        <v>23</v>
      </c>
    </row>
  </sheetData>
  <mergeCells count="23">
    <mergeCell ref="A20:H20"/>
    <mergeCell ref="A15:H15"/>
    <mergeCell ref="A16:H16"/>
    <mergeCell ref="A17:H17"/>
    <mergeCell ref="A18:H18"/>
    <mergeCell ref="A19:H19"/>
    <mergeCell ref="B10:E10"/>
    <mergeCell ref="F10:G10"/>
    <mergeCell ref="B11:E11"/>
    <mergeCell ref="F11:G11"/>
    <mergeCell ref="A14:H14"/>
    <mergeCell ref="B7:E7"/>
    <mergeCell ref="F7:G7"/>
    <mergeCell ref="B8:E8"/>
    <mergeCell ref="F8:G8"/>
    <mergeCell ref="B9:E9"/>
    <mergeCell ref="F9:G9"/>
    <mergeCell ref="A1:H2"/>
    <mergeCell ref="A3:H3"/>
    <mergeCell ref="A5:E5"/>
    <mergeCell ref="F5:H5"/>
    <mergeCell ref="B6:E6"/>
    <mergeCell ref="F6:G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"/>
  <sheetViews>
    <sheetView showGridLines="0" workbookViewId="0"/>
  </sheetViews>
  <sheetFormatPr baseColWidth="10" defaultColWidth="8.83203125" defaultRowHeight="16"/>
  <cols>
    <col min="1" max="1" width="25" style="1" customWidth="1"/>
    <col min="2" max="2" width="27" style="1" customWidth="1"/>
    <col min="3" max="3" width="34.33203125" style="1" customWidth="1"/>
    <col min="4" max="4" width="15" style="28" customWidth="1"/>
    <col min="5" max="5" width="19" style="1" customWidth="1"/>
    <col min="6" max="6" width="13" style="1" customWidth="1"/>
    <col min="7" max="7" width="13" style="29" customWidth="1"/>
    <col min="8" max="8" width="15" style="1" customWidth="1"/>
    <col min="9" max="9" width="42" style="14" customWidth="1"/>
    <col min="10" max="10" width="42" customWidth="1"/>
    <col min="11" max="16384" width="8.83203125" style="1"/>
  </cols>
  <sheetData>
    <row r="1" spans="1:9" ht="24" customHeight="1">
      <c r="A1" s="74" t="s">
        <v>24</v>
      </c>
      <c r="B1" s="74" t="s">
        <v>24</v>
      </c>
      <c r="C1" s="74" t="s">
        <v>24</v>
      </c>
      <c r="D1" s="74" t="s">
        <v>24</v>
      </c>
      <c r="E1" s="74" t="s">
        <v>24</v>
      </c>
      <c r="F1" s="74" t="s">
        <v>24</v>
      </c>
      <c r="G1" s="74" t="s">
        <v>24</v>
      </c>
      <c r="H1" s="74" t="s">
        <v>24</v>
      </c>
      <c r="I1" s="74" t="s">
        <v>24</v>
      </c>
    </row>
    <row r="2" spans="1:9" ht="24" customHeight="1">
      <c r="A2" s="75" t="s">
        <v>25</v>
      </c>
      <c r="B2" s="75" t="s">
        <v>25</v>
      </c>
      <c r="C2" s="75" t="s">
        <v>25</v>
      </c>
      <c r="D2" s="75" t="s">
        <v>25</v>
      </c>
      <c r="E2" s="75" t="s">
        <v>25</v>
      </c>
      <c r="F2" s="75" t="s">
        <v>25</v>
      </c>
      <c r="G2" s="75" t="s">
        <v>25</v>
      </c>
      <c r="H2" s="75" t="s">
        <v>25</v>
      </c>
      <c r="I2" s="75" t="s">
        <v>25</v>
      </c>
    </row>
    <row r="3" spans="1:9" ht="24" customHeight="1">
      <c r="A3" s="76" t="s">
        <v>26</v>
      </c>
      <c r="B3" s="76" t="s">
        <v>26</v>
      </c>
      <c r="C3" s="76" t="s">
        <v>26</v>
      </c>
      <c r="D3" s="76" t="s">
        <v>26</v>
      </c>
      <c r="E3" s="76" t="s">
        <v>26</v>
      </c>
      <c r="F3" s="76" t="s">
        <v>26</v>
      </c>
      <c r="G3" s="76" t="s">
        <v>26</v>
      </c>
      <c r="H3" s="76" t="s">
        <v>26</v>
      </c>
      <c r="I3" s="76" t="s">
        <v>26</v>
      </c>
    </row>
    <row r="4" spans="1:9" ht="23" customHeight="1">
      <c r="A4" s="2" t="s">
        <v>27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15" t="s">
        <v>33</v>
      </c>
      <c r="H4" s="3" t="s">
        <v>34</v>
      </c>
      <c r="I4" s="5" t="s">
        <v>35</v>
      </c>
    </row>
    <row r="5" spans="1:9" ht="23" customHeight="1">
      <c r="A5" s="6" t="s">
        <v>36</v>
      </c>
      <c r="B5" s="6" t="s">
        <v>36</v>
      </c>
      <c r="C5" s="7" t="s">
        <v>37</v>
      </c>
      <c r="D5" s="26">
        <v>46109</v>
      </c>
      <c r="E5" s="7" t="s">
        <v>38</v>
      </c>
      <c r="F5" s="7" t="s">
        <v>39</v>
      </c>
      <c r="G5" s="65"/>
      <c r="H5" s="61">
        <v>20</v>
      </c>
      <c r="I5" s="9"/>
    </row>
    <row r="6" spans="1:9" ht="23" customHeight="1">
      <c r="A6" s="13" t="s">
        <v>40</v>
      </c>
      <c r="B6" s="13" t="s">
        <v>40</v>
      </c>
      <c r="C6" s="1" t="s">
        <v>41</v>
      </c>
      <c r="D6" s="28">
        <v>45913</v>
      </c>
      <c r="E6" s="1" t="s">
        <v>38</v>
      </c>
      <c r="F6" s="1" t="s">
        <v>39</v>
      </c>
      <c r="G6" s="65"/>
      <c r="H6" s="62">
        <v>20</v>
      </c>
    </row>
    <row r="7" spans="1:9" ht="23" customHeight="1">
      <c r="A7" s="13" t="s">
        <v>42</v>
      </c>
      <c r="B7" s="13" t="s">
        <v>42</v>
      </c>
      <c r="C7" s="7" t="s">
        <v>43</v>
      </c>
      <c r="D7" s="28">
        <v>46235</v>
      </c>
      <c r="E7" s="1" t="s">
        <v>38</v>
      </c>
      <c r="F7" s="1" t="s">
        <v>39</v>
      </c>
      <c r="G7" s="65">
        <v>0.77083333333333337</v>
      </c>
      <c r="H7" s="63">
        <v>20</v>
      </c>
    </row>
    <row r="8" spans="1:9">
      <c r="A8" s="1" t="s">
        <v>44</v>
      </c>
      <c r="B8" s="1" t="s">
        <v>44</v>
      </c>
      <c r="C8" s="1" t="s">
        <v>45</v>
      </c>
      <c r="D8" s="28">
        <v>46305</v>
      </c>
      <c r="E8" s="1" t="s">
        <v>46</v>
      </c>
      <c r="F8" s="1" t="s">
        <v>47</v>
      </c>
      <c r="G8" s="65">
        <v>0.77083333333333337</v>
      </c>
      <c r="H8" s="63">
        <v>50</v>
      </c>
    </row>
  </sheetData>
  <mergeCells count="3">
    <mergeCell ref="A1:I1"/>
    <mergeCell ref="A2:I2"/>
    <mergeCell ref="A3:I3"/>
  </mergeCells>
  <conditionalFormatting sqref="F5:F500">
    <cfRule type="containsText" dxfId="3" priority="2" operator="containsText" text="upcoming"/>
  </conditionalFormatting>
  <conditionalFormatting sqref="G5:G198">
    <cfRule type="containsText" dxfId="2" priority="1" operator="containsText" text="upcoming"/>
  </conditionalFormatting>
  <dataValidations count="2">
    <dataValidation type="list" sqref="G5:G198 F5:F8" xr:uid="{00000000-0002-0000-0100-000000000000}">
      <formula1>"completed,upcoming"</formula1>
    </dataValidation>
    <dataValidation type="whole" sqref="I5:I198" xr:uid="{00000000-0002-0000-01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8"/>
  <sheetViews>
    <sheetView showGridLines="0" workbookViewId="0"/>
  </sheetViews>
  <sheetFormatPr baseColWidth="10" defaultColWidth="8.83203125" defaultRowHeight="16"/>
  <cols>
    <col min="1" max="1" width="22.83203125" style="1" customWidth="1"/>
    <col min="2" max="2" width="20" style="1" customWidth="1"/>
    <col min="3" max="3" width="15" style="14" customWidth="1"/>
    <col min="4" max="4" width="13" style="16" customWidth="1"/>
    <col min="5" max="5" width="19" style="1" customWidth="1"/>
    <col min="6" max="6" width="16" style="14" customWidth="1"/>
    <col min="7" max="7" width="18" style="14" customWidth="1"/>
    <col min="8" max="8" width="17" style="1" customWidth="1"/>
    <col min="9" max="10" width="20" style="1" customWidth="1"/>
    <col min="11" max="16384" width="8.83203125" style="1"/>
  </cols>
  <sheetData>
    <row r="1" spans="1:9" ht="25" customHeight="1">
      <c r="A1" s="77" t="s">
        <v>48</v>
      </c>
      <c r="B1" s="77"/>
      <c r="C1" s="77"/>
      <c r="D1" s="77"/>
      <c r="E1" s="77"/>
      <c r="F1" s="77"/>
      <c r="G1" s="77"/>
      <c r="H1" s="78"/>
      <c r="I1" s="78"/>
    </row>
    <row r="2" spans="1:9" ht="31" customHeight="1">
      <c r="A2" s="79" t="s">
        <v>49</v>
      </c>
      <c r="B2" s="79"/>
      <c r="C2" s="79"/>
      <c r="D2" s="79"/>
      <c r="E2" s="79"/>
      <c r="F2" s="79"/>
      <c r="G2" s="79"/>
      <c r="H2" s="80"/>
      <c r="I2" s="80"/>
    </row>
    <row r="3" spans="1:9" ht="25" customHeight="1">
      <c r="A3" s="81" t="s">
        <v>50</v>
      </c>
      <c r="B3" s="81"/>
      <c r="C3" s="81"/>
      <c r="D3" s="81"/>
      <c r="E3" s="81"/>
      <c r="F3" s="81"/>
      <c r="G3" s="81"/>
      <c r="H3" s="80"/>
      <c r="I3" s="80"/>
    </row>
    <row r="4" spans="1:9" ht="34" customHeight="1">
      <c r="A4" s="2" t="s">
        <v>27</v>
      </c>
      <c r="B4" s="3" t="s">
        <v>51</v>
      </c>
      <c r="C4" s="4" t="s">
        <v>52</v>
      </c>
      <c r="D4" s="15" t="s">
        <v>53</v>
      </c>
      <c r="E4" s="42" t="s">
        <v>54</v>
      </c>
      <c r="F4" s="43" t="s">
        <v>55</v>
      </c>
      <c r="G4" s="43" t="s">
        <v>56</v>
      </c>
      <c r="H4" s="42" t="s">
        <v>57</v>
      </c>
      <c r="I4" s="42" t="s">
        <v>58</v>
      </c>
    </row>
    <row r="5" spans="1:9" ht="25" customHeight="1">
      <c r="A5" s="6" t="s">
        <v>40</v>
      </c>
      <c r="B5" s="17" t="s">
        <v>59</v>
      </c>
      <c r="C5" s="20">
        <v>40</v>
      </c>
      <c r="D5" s="23" t="s">
        <v>60</v>
      </c>
      <c r="E5" s="44">
        <v>100</v>
      </c>
      <c r="F5" s="44">
        <v>0</v>
      </c>
      <c r="G5" s="47"/>
      <c r="H5" s="50"/>
      <c r="I5" s="51"/>
    </row>
    <row r="6" spans="1:9" ht="25" customHeight="1">
      <c r="A6" s="6" t="s">
        <v>40</v>
      </c>
      <c r="B6" s="19" t="s">
        <v>61</v>
      </c>
      <c r="C6" s="22">
        <v>20</v>
      </c>
      <c r="D6" s="25" t="s">
        <v>60</v>
      </c>
      <c r="E6" s="45">
        <v>100</v>
      </c>
      <c r="F6" s="45">
        <v>0</v>
      </c>
      <c r="G6" s="48"/>
      <c r="H6" s="52"/>
      <c r="I6" s="53"/>
    </row>
    <row r="7" spans="1:9" ht="25" customHeight="1">
      <c r="A7" s="6" t="s">
        <v>40</v>
      </c>
      <c r="B7" s="1" t="s">
        <v>62</v>
      </c>
      <c r="C7" s="14">
        <v>40</v>
      </c>
      <c r="D7" s="16" t="s">
        <v>60</v>
      </c>
      <c r="E7" s="46">
        <v>100</v>
      </c>
      <c r="F7" s="46">
        <v>0</v>
      </c>
      <c r="G7" s="49"/>
      <c r="H7" s="54"/>
      <c r="I7" s="55"/>
    </row>
    <row r="8" spans="1:9" ht="25" customHeight="1">
      <c r="A8" s="6" t="s">
        <v>40</v>
      </c>
      <c r="B8" s="1" t="s">
        <v>46</v>
      </c>
      <c r="C8" s="14">
        <v>20</v>
      </c>
      <c r="D8" s="16" t="s">
        <v>60</v>
      </c>
      <c r="E8" s="45">
        <v>100</v>
      </c>
      <c r="F8" s="45">
        <v>0</v>
      </c>
      <c r="G8" s="48"/>
      <c r="H8" s="52"/>
      <c r="I8" s="53"/>
    </row>
    <row r="9" spans="1:9" ht="25" customHeight="1">
      <c r="A9" s="6" t="s">
        <v>40</v>
      </c>
      <c r="B9" s="1" t="s">
        <v>63</v>
      </c>
      <c r="C9" s="14">
        <v>20</v>
      </c>
      <c r="D9" s="16">
        <v>5</v>
      </c>
      <c r="E9" s="46">
        <v>0</v>
      </c>
      <c r="F9" s="46">
        <v>0</v>
      </c>
      <c r="G9" s="49"/>
      <c r="H9" s="54"/>
      <c r="I9" s="55"/>
    </row>
    <row r="10" spans="1:9" ht="25" customHeight="1">
      <c r="A10" s="6" t="s">
        <v>40</v>
      </c>
      <c r="B10" s="1" t="s">
        <v>64</v>
      </c>
      <c r="C10" s="14">
        <v>20</v>
      </c>
      <c r="D10" s="16">
        <v>6</v>
      </c>
      <c r="E10" s="45">
        <v>0</v>
      </c>
      <c r="F10" s="45">
        <v>0</v>
      </c>
      <c r="G10" s="48"/>
      <c r="H10" s="52"/>
      <c r="I10" s="53"/>
    </row>
    <row r="11" spans="1:9" ht="25" customHeight="1">
      <c r="A11" s="6" t="s">
        <v>40</v>
      </c>
      <c r="B11" s="1" t="s">
        <v>65</v>
      </c>
      <c r="C11" s="14">
        <v>20</v>
      </c>
      <c r="D11" s="16">
        <v>7</v>
      </c>
      <c r="E11" s="46">
        <v>0</v>
      </c>
      <c r="F11" s="46">
        <v>0</v>
      </c>
      <c r="G11" s="49"/>
      <c r="H11" s="54"/>
      <c r="I11" s="55"/>
    </row>
    <row r="12" spans="1:9" ht="25" customHeight="1">
      <c r="A12" s="6" t="s">
        <v>40</v>
      </c>
      <c r="B12" s="1" t="s">
        <v>66</v>
      </c>
      <c r="C12" s="14">
        <v>40</v>
      </c>
      <c r="D12" s="16">
        <v>8</v>
      </c>
      <c r="E12" s="45">
        <v>0</v>
      </c>
      <c r="F12" s="45">
        <v>0</v>
      </c>
      <c r="G12" s="48"/>
      <c r="H12" s="52"/>
      <c r="I12" s="53"/>
    </row>
    <row r="13" spans="1:9" ht="25" customHeight="1">
      <c r="A13" s="6" t="s">
        <v>40</v>
      </c>
      <c r="B13" s="1" t="s">
        <v>67</v>
      </c>
      <c r="C13" s="14">
        <v>20</v>
      </c>
      <c r="D13" s="16">
        <v>9</v>
      </c>
      <c r="E13" s="46">
        <v>0</v>
      </c>
      <c r="F13" s="46">
        <v>0</v>
      </c>
      <c r="G13" s="49"/>
      <c r="H13" s="54"/>
      <c r="I13" s="55"/>
    </row>
    <row r="14" spans="1:9" ht="25" customHeight="1">
      <c r="A14" s="6" t="s">
        <v>40</v>
      </c>
      <c r="B14" s="1" t="s">
        <v>68</v>
      </c>
      <c r="C14" s="14">
        <v>20</v>
      </c>
      <c r="D14" s="16">
        <v>10</v>
      </c>
      <c r="E14" s="45">
        <v>0</v>
      </c>
      <c r="F14" s="45">
        <v>0</v>
      </c>
      <c r="G14" s="48"/>
      <c r="H14" s="52"/>
      <c r="I14" s="53"/>
    </row>
    <row r="15" spans="1:9" ht="25" customHeight="1">
      <c r="A15" s="6" t="s">
        <v>40</v>
      </c>
      <c r="B15" s="1" t="s">
        <v>69</v>
      </c>
      <c r="C15" s="14">
        <v>20</v>
      </c>
      <c r="D15" s="16">
        <v>11</v>
      </c>
      <c r="E15" s="46">
        <v>0</v>
      </c>
      <c r="F15" s="46">
        <v>0</v>
      </c>
      <c r="G15" s="49"/>
      <c r="H15" s="54"/>
      <c r="I15" s="55"/>
    </row>
    <row r="16" spans="1:9" ht="25" customHeight="1">
      <c r="A16" s="6" t="s">
        <v>40</v>
      </c>
      <c r="B16" s="1" t="s">
        <v>38</v>
      </c>
      <c r="C16" s="14">
        <v>20</v>
      </c>
      <c r="D16" s="16">
        <v>12</v>
      </c>
      <c r="E16" s="46">
        <v>0</v>
      </c>
      <c r="F16" s="46">
        <v>0</v>
      </c>
      <c r="G16" s="49"/>
      <c r="H16" s="54"/>
      <c r="I16" s="55"/>
    </row>
    <row r="17" spans="1:9" ht="25" customHeight="1">
      <c r="A17" s="6" t="s">
        <v>40</v>
      </c>
      <c r="B17" s="1" t="s">
        <v>70</v>
      </c>
      <c r="C17" s="14">
        <v>20</v>
      </c>
      <c r="D17" s="16">
        <v>13</v>
      </c>
      <c r="E17" s="45">
        <v>0</v>
      </c>
      <c r="F17" s="45">
        <v>0</v>
      </c>
      <c r="G17" s="48"/>
      <c r="H17" s="52"/>
      <c r="I17" s="53"/>
    </row>
    <row r="18" spans="1:9" ht="25" customHeight="1">
      <c r="A18" s="13" t="s">
        <v>40</v>
      </c>
      <c r="B18" s="1" t="s">
        <v>71</v>
      </c>
      <c r="C18" s="14">
        <v>20</v>
      </c>
      <c r="D18" s="16">
        <v>14</v>
      </c>
      <c r="E18" s="46">
        <v>0</v>
      </c>
      <c r="F18" s="46">
        <v>0</v>
      </c>
      <c r="G18" s="49"/>
      <c r="H18" s="54"/>
      <c r="I18" s="55"/>
    </row>
    <row r="19" spans="1:9" ht="25" customHeight="1">
      <c r="A19" s="13" t="s">
        <v>40</v>
      </c>
      <c r="B19" s="1" t="s">
        <v>72</v>
      </c>
      <c r="C19" s="14">
        <v>20</v>
      </c>
      <c r="D19" s="16">
        <v>15</v>
      </c>
      <c r="E19" s="45">
        <v>0</v>
      </c>
      <c r="F19" s="45">
        <v>0</v>
      </c>
      <c r="G19" s="48"/>
      <c r="H19" s="52"/>
      <c r="I19" s="53"/>
    </row>
    <row r="20" spans="1:9" ht="25" customHeight="1">
      <c r="A20" s="13" t="s">
        <v>40</v>
      </c>
      <c r="B20" s="1" t="s">
        <v>73</v>
      </c>
      <c r="C20" s="14">
        <v>40</v>
      </c>
      <c r="D20" s="16">
        <v>16</v>
      </c>
      <c r="E20" s="46">
        <v>0</v>
      </c>
      <c r="F20" s="46">
        <v>0</v>
      </c>
      <c r="G20" s="49"/>
      <c r="H20" s="54"/>
      <c r="I20" s="55"/>
    </row>
    <row r="21" spans="1:9" ht="25" customHeight="1">
      <c r="A21" s="13" t="s">
        <v>36</v>
      </c>
      <c r="B21" s="18" t="s">
        <v>74</v>
      </c>
      <c r="C21" s="21">
        <v>60</v>
      </c>
      <c r="D21" s="24" t="s">
        <v>75</v>
      </c>
      <c r="E21" s="45">
        <v>195</v>
      </c>
      <c r="F21" s="45">
        <v>0</v>
      </c>
      <c r="G21" s="48"/>
      <c r="H21" s="52"/>
      <c r="I21" s="53"/>
    </row>
    <row r="22" spans="1:9" ht="25" customHeight="1">
      <c r="A22" s="13" t="s">
        <v>36</v>
      </c>
      <c r="B22" s="18" t="s">
        <v>76</v>
      </c>
      <c r="C22" s="21">
        <v>20</v>
      </c>
      <c r="D22" s="24" t="s">
        <v>77</v>
      </c>
      <c r="E22" s="46">
        <v>87.75</v>
      </c>
      <c r="F22" s="46">
        <v>0</v>
      </c>
      <c r="G22" s="49"/>
      <c r="H22" s="54"/>
      <c r="I22" s="55"/>
    </row>
    <row r="23" spans="1:9" ht="25" customHeight="1">
      <c r="A23" s="13" t="s">
        <v>36</v>
      </c>
      <c r="B23" s="1" t="s">
        <v>38</v>
      </c>
      <c r="C23" s="14">
        <v>20</v>
      </c>
      <c r="D23" s="16">
        <v>3</v>
      </c>
      <c r="E23" s="45">
        <v>58.5</v>
      </c>
      <c r="F23" s="45">
        <v>0</v>
      </c>
      <c r="G23" s="48"/>
      <c r="H23" s="52"/>
      <c r="I23" s="53"/>
    </row>
    <row r="24" spans="1:9" ht="25" customHeight="1">
      <c r="A24" s="13" t="s">
        <v>36</v>
      </c>
      <c r="B24" s="1" t="s">
        <v>63</v>
      </c>
      <c r="C24" s="14">
        <v>20</v>
      </c>
      <c r="D24" s="16">
        <v>4</v>
      </c>
      <c r="E24" s="46">
        <v>48.75</v>
      </c>
      <c r="F24" s="46">
        <v>0</v>
      </c>
      <c r="G24" s="49"/>
      <c r="H24" s="54"/>
      <c r="I24" s="55"/>
    </row>
    <row r="25" spans="1:9" ht="25" customHeight="1">
      <c r="A25" s="13" t="s">
        <v>36</v>
      </c>
      <c r="B25" s="1" t="s">
        <v>64</v>
      </c>
      <c r="C25" s="14">
        <v>20</v>
      </c>
      <c r="D25" s="16">
        <v>5</v>
      </c>
      <c r="E25" s="45">
        <v>0</v>
      </c>
      <c r="F25" s="45">
        <v>0</v>
      </c>
      <c r="G25" s="48"/>
      <c r="H25" s="52"/>
      <c r="I25" s="53"/>
    </row>
    <row r="26" spans="1:9" ht="25" customHeight="1">
      <c r="A26" s="13" t="s">
        <v>36</v>
      </c>
      <c r="B26" s="1" t="s">
        <v>70</v>
      </c>
      <c r="C26" s="14">
        <v>20</v>
      </c>
      <c r="D26" s="16">
        <v>6</v>
      </c>
      <c r="E26" s="46">
        <v>0</v>
      </c>
      <c r="F26" s="46">
        <v>0</v>
      </c>
      <c r="G26" s="49"/>
      <c r="H26" s="54"/>
      <c r="I26" s="55"/>
    </row>
    <row r="27" spans="1:9" ht="25" customHeight="1">
      <c r="A27" s="13" t="s">
        <v>36</v>
      </c>
      <c r="B27" s="1" t="s">
        <v>65</v>
      </c>
      <c r="C27" s="14">
        <v>20</v>
      </c>
      <c r="D27" s="16">
        <v>7</v>
      </c>
      <c r="E27" s="45">
        <v>0</v>
      </c>
      <c r="F27" s="45">
        <v>0</v>
      </c>
      <c r="G27" s="48"/>
      <c r="H27" s="52"/>
      <c r="I27" s="53"/>
    </row>
    <row r="28" spans="1:9" ht="25" customHeight="1">
      <c r="A28" s="13" t="s">
        <v>36</v>
      </c>
      <c r="B28" s="1" t="s">
        <v>71</v>
      </c>
      <c r="C28" s="14">
        <v>20</v>
      </c>
      <c r="D28" s="16">
        <v>8</v>
      </c>
      <c r="E28" s="46">
        <v>0</v>
      </c>
      <c r="F28" s="46">
        <v>0</v>
      </c>
      <c r="G28" s="49"/>
      <c r="H28" s="54"/>
      <c r="I28" s="55"/>
    </row>
    <row r="29" spans="1:9" ht="25" customHeight="1">
      <c r="A29" s="13" t="s">
        <v>36</v>
      </c>
      <c r="B29" s="1" t="s">
        <v>68</v>
      </c>
      <c r="C29" s="14">
        <v>20</v>
      </c>
      <c r="D29" s="16">
        <v>9</v>
      </c>
      <c r="E29" s="45">
        <v>0</v>
      </c>
      <c r="F29" s="45">
        <v>0</v>
      </c>
      <c r="G29" s="48"/>
      <c r="H29" s="52"/>
      <c r="I29" s="53"/>
    </row>
    <row r="30" spans="1:9" ht="25" customHeight="1">
      <c r="A30" s="13" t="s">
        <v>36</v>
      </c>
      <c r="B30" s="1" t="s">
        <v>62</v>
      </c>
      <c r="C30" s="14">
        <v>30</v>
      </c>
      <c r="D30" s="16">
        <v>10</v>
      </c>
      <c r="E30" s="46">
        <v>0</v>
      </c>
      <c r="F30" s="46">
        <v>0</v>
      </c>
      <c r="G30" s="49"/>
      <c r="H30" s="54"/>
      <c r="I30" s="55"/>
    </row>
    <row r="31" spans="1:9" ht="25" customHeight="1">
      <c r="A31" s="13" t="s">
        <v>36</v>
      </c>
      <c r="B31" s="1" t="s">
        <v>46</v>
      </c>
      <c r="C31" s="14">
        <v>20</v>
      </c>
      <c r="D31" s="16">
        <v>11</v>
      </c>
      <c r="E31" s="45">
        <v>0</v>
      </c>
      <c r="F31" s="45">
        <v>0</v>
      </c>
      <c r="G31" s="48"/>
      <c r="H31" s="52"/>
      <c r="I31" s="53"/>
    </row>
    <row r="32" spans="1:9" ht="25" customHeight="1">
      <c r="A32" s="13" t="s">
        <v>36</v>
      </c>
      <c r="B32" s="1" t="s">
        <v>72</v>
      </c>
      <c r="C32" s="14">
        <v>40</v>
      </c>
      <c r="D32" s="16">
        <v>12</v>
      </c>
      <c r="E32" s="46">
        <v>0</v>
      </c>
      <c r="F32" s="46">
        <v>0</v>
      </c>
      <c r="G32" s="49"/>
      <c r="H32" s="54"/>
      <c r="I32" s="55"/>
    </row>
    <row r="33" spans="1:9" ht="25" customHeight="1">
      <c r="A33" s="13" t="s">
        <v>36</v>
      </c>
      <c r="B33" s="1" t="s">
        <v>73</v>
      </c>
      <c r="C33" s="14">
        <v>40</v>
      </c>
      <c r="D33" s="16">
        <v>13</v>
      </c>
      <c r="E33" s="45">
        <v>0</v>
      </c>
      <c r="F33" s="45">
        <v>0</v>
      </c>
      <c r="G33" s="48"/>
      <c r="H33" s="52"/>
      <c r="I33" s="53"/>
    </row>
    <row r="34" spans="1:9" ht="25" customHeight="1">
      <c r="A34" s="13" t="s">
        <v>36</v>
      </c>
      <c r="B34" s="1" t="s">
        <v>67</v>
      </c>
      <c r="C34" s="14">
        <v>40</v>
      </c>
      <c r="D34" s="16">
        <v>14</v>
      </c>
      <c r="E34" s="46">
        <v>0</v>
      </c>
      <c r="F34" s="46">
        <v>0</v>
      </c>
      <c r="G34" s="49"/>
      <c r="H34" s="54"/>
      <c r="I34" s="55"/>
    </row>
    <row r="35" spans="1:9" ht="25" customHeight="1">
      <c r="A35" s="13" t="s">
        <v>42</v>
      </c>
      <c r="B35" s="1" t="s">
        <v>78</v>
      </c>
      <c r="C35" s="14">
        <v>40</v>
      </c>
      <c r="D35" s="16">
        <v>14</v>
      </c>
      <c r="E35" s="46">
        <v>0</v>
      </c>
      <c r="F35" s="45">
        <v>0</v>
      </c>
      <c r="G35" s="48">
        <v>4</v>
      </c>
      <c r="H35" s="52">
        <v>0.84375</v>
      </c>
      <c r="I35" s="53" t="s">
        <v>70</v>
      </c>
    </row>
    <row r="36" spans="1:9" ht="25" customHeight="1">
      <c r="A36" s="13" t="s">
        <v>42</v>
      </c>
      <c r="B36" s="1" t="s">
        <v>72</v>
      </c>
      <c r="C36" s="14">
        <v>20</v>
      </c>
      <c r="D36" s="16">
        <v>13</v>
      </c>
      <c r="E36" s="46">
        <v>0</v>
      </c>
      <c r="F36" s="46">
        <v>0</v>
      </c>
      <c r="G36" s="49">
        <v>5</v>
      </c>
      <c r="H36" s="54">
        <v>0.85069444444444442</v>
      </c>
      <c r="I36" s="55" t="s">
        <v>74</v>
      </c>
    </row>
    <row r="37" spans="1:9" ht="25" customHeight="1">
      <c r="A37" s="13" t="s">
        <v>42</v>
      </c>
      <c r="B37" s="1" t="s">
        <v>46</v>
      </c>
      <c r="C37" s="14">
        <v>20</v>
      </c>
      <c r="D37" s="16">
        <v>12</v>
      </c>
      <c r="E37" s="46">
        <v>0</v>
      </c>
      <c r="F37" s="45">
        <v>0</v>
      </c>
      <c r="G37" s="48">
        <v>5</v>
      </c>
      <c r="H37" s="52">
        <v>0.85624999999999996</v>
      </c>
      <c r="I37" s="53" t="s">
        <v>69</v>
      </c>
    </row>
    <row r="38" spans="1:9" ht="25" customHeight="1">
      <c r="A38" s="13" t="s">
        <v>42</v>
      </c>
      <c r="B38" s="1" t="s">
        <v>64</v>
      </c>
      <c r="C38" s="14">
        <v>40</v>
      </c>
      <c r="D38" s="16">
        <v>11</v>
      </c>
      <c r="E38" s="46">
        <v>0</v>
      </c>
      <c r="F38" s="46">
        <v>0</v>
      </c>
      <c r="G38" s="49">
        <v>6</v>
      </c>
      <c r="H38" s="54">
        <v>0.87083333333333335</v>
      </c>
      <c r="I38" s="55" t="s">
        <v>61</v>
      </c>
    </row>
    <row r="39" spans="1:9" ht="25" customHeight="1">
      <c r="A39" s="13" t="s">
        <v>42</v>
      </c>
      <c r="B39" s="1" t="s">
        <v>63</v>
      </c>
      <c r="C39" s="14">
        <v>40</v>
      </c>
      <c r="D39" s="16">
        <v>10</v>
      </c>
      <c r="E39" s="46">
        <v>0</v>
      </c>
      <c r="F39" s="45">
        <v>0</v>
      </c>
      <c r="G39" s="48">
        <v>6</v>
      </c>
      <c r="H39" s="52">
        <v>0.87430555555555556</v>
      </c>
      <c r="I39" s="53" t="s">
        <v>66</v>
      </c>
    </row>
    <row r="40" spans="1:9" ht="25" customHeight="1">
      <c r="A40" s="13" t="s">
        <v>42</v>
      </c>
      <c r="B40" s="1" t="s">
        <v>74</v>
      </c>
      <c r="C40" s="14">
        <v>60</v>
      </c>
      <c r="D40" s="16">
        <v>9</v>
      </c>
      <c r="E40" s="46">
        <v>0</v>
      </c>
      <c r="F40" s="46">
        <v>0</v>
      </c>
      <c r="G40" s="49">
        <v>6</v>
      </c>
      <c r="H40" s="54">
        <v>0.87986111111111109</v>
      </c>
      <c r="I40" s="55" t="s">
        <v>70</v>
      </c>
    </row>
    <row r="41" spans="1:9" ht="25" customHeight="1">
      <c r="A41" s="13" t="s">
        <v>42</v>
      </c>
      <c r="B41" s="1" t="s">
        <v>67</v>
      </c>
      <c r="C41" s="14">
        <v>60</v>
      </c>
      <c r="D41" s="16">
        <v>8</v>
      </c>
      <c r="E41" s="46">
        <v>0</v>
      </c>
      <c r="F41" s="45">
        <v>0</v>
      </c>
      <c r="G41" s="48">
        <v>6</v>
      </c>
      <c r="H41" s="52">
        <v>0.88263888888888886</v>
      </c>
      <c r="I41" s="53" t="s">
        <v>65</v>
      </c>
    </row>
    <row r="42" spans="1:9" ht="25" customHeight="1">
      <c r="A42" s="13" t="s">
        <v>42</v>
      </c>
      <c r="B42" s="1" t="s">
        <v>38</v>
      </c>
      <c r="C42" s="14">
        <v>40</v>
      </c>
      <c r="D42" s="16">
        <v>7</v>
      </c>
      <c r="E42" s="46">
        <v>0</v>
      </c>
      <c r="F42" s="46">
        <v>0</v>
      </c>
      <c r="G42" s="49">
        <v>7</v>
      </c>
      <c r="H42" s="54">
        <v>0.89583333333333337</v>
      </c>
      <c r="I42" s="55" t="s">
        <v>69</v>
      </c>
    </row>
    <row r="43" spans="1:9" ht="25" customHeight="1">
      <c r="A43" s="13" t="s">
        <v>42</v>
      </c>
      <c r="B43" s="1" t="s">
        <v>70</v>
      </c>
      <c r="C43" s="14">
        <v>40</v>
      </c>
      <c r="D43" s="16">
        <v>6</v>
      </c>
      <c r="E43" s="46">
        <v>0</v>
      </c>
      <c r="F43" s="45">
        <v>0</v>
      </c>
      <c r="G43" s="48">
        <v>9</v>
      </c>
      <c r="H43" s="52">
        <v>0.92013888888888884</v>
      </c>
      <c r="I43" s="53" t="s">
        <v>66</v>
      </c>
    </row>
    <row r="44" spans="1:9" ht="25" customHeight="1">
      <c r="A44" s="13" t="s">
        <v>42</v>
      </c>
      <c r="B44" s="1" t="s">
        <v>71</v>
      </c>
      <c r="C44" s="14">
        <v>20</v>
      </c>
      <c r="D44" s="16">
        <v>5</v>
      </c>
      <c r="E44" s="46">
        <v>0</v>
      </c>
      <c r="F44" s="46">
        <v>0</v>
      </c>
      <c r="G44" s="49">
        <v>10</v>
      </c>
      <c r="H44" s="54">
        <v>0.93055555555555558</v>
      </c>
      <c r="I44" s="55" t="s">
        <v>61</v>
      </c>
    </row>
    <row r="45" spans="1:9" ht="25" customHeight="1">
      <c r="A45" s="13" t="s">
        <v>42</v>
      </c>
      <c r="B45" s="1" t="s">
        <v>65</v>
      </c>
      <c r="C45" s="14">
        <v>60</v>
      </c>
      <c r="D45" s="16">
        <v>4</v>
      </c>
      <c r="E45" s="45">
        <v>62.5</v>
      </c>
      <c r="F45" s="45">
        <v>0</v>
      </c>
      <c r="G45" s="48">
        <v>11</v>
      </c>
      <c r="H45" s="52">
        <v>0.95138888888888884</v>
      </c>
      <c r="I45" s="53" t="s">
        <v>69</v>
      </c>
    </row>
    <row r="46" spans="1:9" ht="25" customHeight="1">
      <c r="A46" s="13" t="s">
        <v>42</v>
      </c>
      <c r="B46" s="1" t="s">
        <v>61</v>
      </c>
      <c r="C46" s="14">
        <v>20</v>
      </c>
      <c r="D46" s="16">
        <v>3</v>
      </c>
      <c r="E46" s="46">
        <v>75</v>
      </c>
      <c r="F46" s="46">
        <v>0</v>
      </c>
      <c r="G46" s="49">
        <v>12</v>
      </c>
      <c r="H46" s="54">
        <v>0.95625000000000004</v>
      </c>
      <c r="I46" s="55" t="s">
        <v>69</v>
      </c>
    </row>
    <row r="47" spans="1:9" ht="25" customHeight="1">
      <c r="A47" s="13" t="s">
        <v>42</v>
      </c>
      <c r="B47" s="1" t="s">
        <v>66</v>
      </c>
      <c r="C47" s="14">
        <v>20</v>
      </c>
      <c r="D47" s="16">
        <v>2</v>
      </c>
      <c r="E47" s="45">
        <v>112.5</v>
      </c>
      <c r="F47" s="45">
        <v>0</v>
      </c>
      <c r="G47" s="48">
        <v>13</v>
      </c>
      <c r="H47" s="52">
        <v>0.96736111111111112</v>
      </c>
      <c r="I47" s="53" t="s">
        <v>69</v>
      </c>
    </row>
    <row r="48" spans="1:9" ht="25" customHeight="1">
      <c r="A48" s="13" t="s">
        <v>42</v>
      </c>
      <c r="B48" s="1" t="s">
        <v>69</v>
      </c>
      <c r="C48" s="14">
        <v>20</v>
      </c>
      <c r="D48" s="16">
        <v>1</v>
      </c>
      <c r="E48" s="46">
        <v>250</v>
      </c>
      <c r="F48" s="46">
        <v>0</v>
      </c>
      <c r="G48" s="49"/>
      <c r="H48" s="54"/>
      <c r="I48" s="55"/>
    </row>
  </sheetData>
  <mergeCells count="3">
    <mergeCell ref="A1:I1"/>
    <mergeCell ref="A2:I2"/>
    <mergeCell ref="A3:I3"/>
  </mergeCells>
  <dataValidations count="2">
    <dataValidation type="whole" sqref="C5:C459" xr:uid="{00000000-0002-0000-0200-000000000000}">
      <formula1>1</formula1>
      <formula2>1000000</formula2>
    </dataValidation>
    <dataValidation type="whole" sqref="F5:G459" xr:uid="{00000000-0002-0000-02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2"/>
  <sheetViews>
    <sheetView showGridLines="0" workbookViewId="0">
      <selection activeCell="A12" sqref="A12"/>
    </sheetView>
  </sheetViews>
  <sheetFormatPr baseColWidth="10" defaultColWidth="8.83203125" defaultRowHeight="16"/>
  <cols>
    <col min="1" max="1" width="21" style="1" customWidth="1"/>
    <col min="2" max="2" width="27" style="1" customWidth="1"/>
    <col min="3" max="3" width="24" style="1" customWidth="1"/>
    <col min="4" max="4" width="23.83203125" style="28" customWidth="1"/>
    <col min="5" max="5" width="19" style="1" customWidth="1"/>
    <col min="6" max="6" width="13" style="1" customWidth="1"/>
    <col min="7" max="7" width="13" customWidth="1"/>
    <col min="8" max="8" width="15" customWidth="1"/>
    <col min="9" max="9" width="42" style="34" customWidth="1"/>
    <col min="10" max="10" width="42" customWidth="1"/>
    <col min="11" max="16384" width="8.83203125" style="1"/>
  </cols>
  <sheetData>
    <row r="1" spans="1:9" ht="24" customHeight="1">
      <c r="A1" s="74" t="s">
        <v>79</v>
      </c>
      <c r="B1" s="74" t="s">
        <v>79</v>
      </c>
      <c r="C1" s="74" t="s">
        <v>79</v>
      </c>
      <c r="D1" s="74" t="s">
        <v>79</v>
      </c>
      <c r="E1" s="74" t="s">
        <v>79</v>
      </c>
      <c r="F1" s="74" t="s">
        <v>79</v>
      </c>
      <c r="G1" s="74" t="s">
        <v>79</v>
      </c>
      <c r="H1" s="74" t="s">
        <v>79</v>
      </c>
      <c r="I1" s="74" t="s">
        <v>79</v>
      </c>
    </row>
    <row r="2" spans="1:9" ht="24" customHeight="1">
      <c r="A2" s="75" t="s">
        <v>80</v>
      </c>
      <c r="B2" s="75" t="s">
        <v>80</v>
      </c>
      <c r="C2" s="75" t="s">
        <v>80</v>
      </c>
      <c r="D2" s="75" t="s">
        <v>80</v>
      </c>
      <c r="E2" s="75" t="s">
        <v>80</v>
      </c>
      <c r="F2" s="75" t="s">
        <v>80</v>
      </c>
      <c r="G2" s="75" t="s">
        <v>80</v>
      </c>
      <c r="H2" s="75" t="s">
        <v>80</v>
      </c>
      <c r="I2" s="75" t="s">
        <v>80</v>
      </c>
    </row>
    <row r="3" spans="1:9" ht="24" customHeight="1">
      <c r="A3" s="76" t="s">
        <v>26</v>
      </c>
      <c r="B3" s="76" t="s">
        <v>26</v>
      </c>
      <c r="C3" s="76" t="s">
        <v>26</v>
      </c>
      <c r="D3" s="76" t="s">
        <v>26</v>
      </c>
      <c r="E3" s="76" t="s">
        <v>26</v>
      </c>
      <c r="F3" s="76" t="s">
        <v>26</v>
      </c>
      <c r="G3" s="76" t="s">
        <v>26</v>
      </c>
      <c r="H3" s="76" t="s">
        <v>26</v>
      </c>
      <c r="I3" s="76" t="s">
        <v>26</v>
      </c>
    </row>
    <row r="4" spans="1:9" ht="24" customHeight="1">
      <c r="A4" s="2" t="s">
        <v>81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3" t="s">
        <v>33</v>
      </c>
      <c r="H4" s="3" t="s">
        <v>34</v>
      </c>
      <c r="I4" s="31" t="s">
        <v>35</v>
      </c>
    </row>
    <row r="5" spans="1:9" ht="24" customHeight="1">
      <c r="A5" s="6" t="s">
        <v>82</v>
      </c>
      <c r="B5" s="6" t="s">
        <v>82</v>
      </c>
      <c r="C5" s="7" t="s">
        <v>83</v>
      </c>
      <c r="D5" s="26">
        <v>46218</v>
      </c>
      <c r="E5" s="7" t="s">
        <v>46</v>
      </c>
      <c r="F5" s="7" t="s">
        <v>39</v>
      </c>
      <c r="G5" s="65" t="s">
        <v>134</v>
      </c>
      <c r="H5" s="61">
        <v>20</v>
      </c>
      <c r="I5" s="32"/>
    </row>
    <row r="6" spans="1:9" ht="24" customHeight="1">
      <c r="A6" s="13" t="s">
        <v>84</v>
      </c>
      <c r="B6" s="13" t="s">
        <v>84</v>
      </c>
      <c r="C6" s="30" t="s">
        <v>85</v>
      </c>
      <c r="D6" s="35">
        <v>46221</v>
      </c>
      <c r="E6" s="30" t="s">
        <v>38</v>
      </c>
      <c r="F6" s="30" t="s">
        <v>39</v>
      </c>
      <c r="G6" s="65">
        <v>0.83333333333333337</v>
      </c>
      <c r="H6" s="64">
        <v>20</v>
      </c>
      <c r="I6" s="33"/>
    </row>
    <row r="7" spans="1:9" ht="24" customHeight="1">
      <c r="A7" s="13" t="s">
        <v>86</v>
      </c>
      <c r="B7" s="13" t="s">
        <v>86</v>
      </c>
      <c r="C7" s="7" t="s">
        <v>87</v>
      </c>
      <c r="D7" s="35">
        <v>46225</v>
      </c>
      <c r="E7" s="30" t="s">
        <v>46</v>
      </c>
      <c r="F7" s="30" t="s">
        <v>39</v>
      </c>
      <c r="G7" s="65">
        <v>0.83333333333333337</v>
      </c>
      <c r="H7" s="64">
        <v>20</v>
      </c>
      <c r="I7" s="33"/>
    </row>
    <row r="8" spans="1:9" ht="24" customHeight="1">
      <c r="A8" s="13" t="s">
        <v>88</v>
      </c>
      <c r="B8" s="13" t="s">
        <v>88</v>
      </c>
      <c r="C8" s="7" t="s">
        <v>89</v>
      </c>
      <c r="D8" s="35">
        <v>46232</v>
      </c>
      <c r="E8" s="30" t="s">
        <v>46</v>
      </c>
      <c r="F8" s="30" t="s">
        <v>39</v>
      </c>
      <c r="G8" s="65">
        <v>0.83333333333333337</v>
      </c>
      <c r="H8" s="64">
        <v>20</v>
      </c>
      <c r="I8" s="33"/>
    </row>
    <row r="9" spans="1:9" ht="24" customHeight="1">
      <c r="A9" s="13" t="s">
        <v>90</v>
      </c>
      <c r="B9" s="13" t="s">
        <v>90</v>
      </c>
      <c r="C9" s="1" t="s">
        <v>91</v>
      </c>
      <c r="D9" s="28">
        <v>46239</v>
      </c>
      <c r="E9" s="1" t="s">
        <v>46</v>
      </c>
      <c r="F9" s="1" t="s">
        <v>39</v>
      </c>
      <c r="G9" s="65">
        <v>0.83333333333333337</v>
      </c>
      <c r="H9" s="63">
        <v>20</v>
      </c>
    </row>
    <row r="10" spans="1:9" ht="24" customHeight="1">
      <c r="A10" s="13" t="s">
        <v>92</v>
      </c>
      <c r="B10" s="13" t="s">
        <v>92</v>
      </c>
      <c r="C10" s="1" t="s">
        <v>93</v>
      </c>
      <c r="D10" s="28">
        <v>46242</v>
      </c>
      <c r="E10" s="1" t="s">
        <v>38</v>
      </c>
      <c r="F10" s="1" t="s">
        <v>39</v>
      </c>
      <c r="G10" s="65">
        <v>0.83333333333333337</v>
      </c>
      <c r="H10" s="63">
        <v>20</v>
      </c>
    </row>
    <row r="11" spans="1:9" ht="24" customHeight="1">
      <c r="A11" s="1" t="s">
        <v>94</v>
      </c>
      <c r="B11" s="1" t="s">
        <v>94</v>
      </c>
      <c r="C11" s="1" t="s">
        <v>95</v>
      </c>
      <c r="D11" s="28">
        <v>46246</v>
      </c>
      <c r="E11" s="1" t="s">
        <v>70</v>
      </c>
      <c r="F11" s="1" t="s">
        <v>39</v>
      </c>
      <c r="G11" s="65">
        <v>0.83333333333333337</v>
      </c>
      <c r="H11" s="63">
        <v>20</v>
      </c>
    </row>
    <row r="12" spans="1:9">
      <c r="A12" s="1" t="s">
        <v>136</v>
      </c>
      <c r="B12" s="1" t="s">
        <v>136</v>
      </c>
      <c r="C12" s="1" t="s">
        <v>135</v>
      </c>
      <c r="D12" s="28">
        <v>46249</v>
      </c>
      <c r="E12" s="1" t="s">
        <v>46</v>
      </c>
      <c r="F12" s="1" t="s">
        <v>39</v>
      </c>
      <c r="G12" s="65">
        <v>0.83333333333333337</v>
      </c>
      <c r="H12">
        <v>20</v>
      </c>
    </row>
  </sheetData>
  <mergeCells count="3">
    <mergeCell ref="A1:I1"/>
    <mergeCell ref="A2:I2"/>
    <mergeCell ref="A3:I3"/>
  </mergeCells>
  <conditionalFormatting sqref="F5:F500">
    <cfRule type="containsText" dxfId="1" priority="2" operator="containsText" text="upcoming"/>
  </conditionalFormatting>
  <conditionalFormatting sqref="G5:G199">
    <cfRule type="containsText" dxfId="0" priority="1" operator="containsText" text="upcoming"/>
  </conditionalFormatting>
  <dataValidations count="2">
    <dataValidation type="list" sqref="G5:G199 F5:F12" xr:uid="{00000000-0002-0000-0300-000000000000}">
      <formula1>"completed,upcoming"</formula1>
    </dataValidation>
    <dataValidation type="whole" sqref="I5:I199" xr:uid="{00000000-0002-0000-03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74"/>
  <sheetViews>
    <sheetView showGridLines="0" tabSelected="1" topLeftCell="A52" workbookViewId="0">
      <selection activeCell="G66" sqref="G66"/>
    </sheetView>
  </sheetViews>
  <sheetFormatPr baseColWidth="10" defaultColWidth="8.83203125" defaultRowHeight="27" customHeight="1"/>
  <cols>
    <col min="1" max="1" width="43" style="1" customWidth="1"/>
    <col min="2" max="2" width="22.5" style="1" customWidth="1"/>
    <col min="3" max="3" width="21.1640625" style="14" customWidth="1"/>
    <col min="4" max="4" width="20.33203125" style="14" customWidth="1"/>
    <col min="5" max="16384" width="8.83203125" style="1"/>
  </cols>
  <sheetData>
    <row r="1" spans="1:4" ht="27" customHeight="1">
      <c r="A1" s="77" t="s">
        <v>96</v>
      </c>
      <c r="B1" s="77"/>
      <c r="C1" s="77"/>
      <c r="D1" s="77"/>
    </row>
    <row r="2" spans="1:4" ht="27" customHeight="1">
      <c r="A2" s="79" t="s">
        <v>97</v>
      </c>
      <c r="B2" s="79"/>
      <c r="C2" s="79"/>
      <c r="D2" s="79"/>
    </row>
    <row r="3" spans="1:4" ht="27" customHeight="1">
      <c r="A3" s="82" t="s">
        <v>98</v>
      </c>
      <c r="B3" s="82"/>
      <c r="C3" s="82"/>
      <c r="D3" s="82"/>
    </row>
    <row r="4" spans="1:4" ht="27" customHeight="1">
      <c r="A4" s="2" t="s">
        <v>81</v>
      </c>
      <c r="B4" s="3" t="s">
        <v>51</v>
      </c>
      <c r="C4" s="4" t="s">
        <v>99</v>
      </c>
      <c r="D4" s="5" t="s">
        <v>100</v>
      </c>
    </row>
    <row r="5" spans="1:4" ht="27" customHeight="1">
      <c r="A5" s="6" t="s">
        <v>82</v>
      </c>
      <c r="B5" s="7" t="s">
        <v>46</v>
      </c>
      <c r="C5" s="8">
        <v>40</v>
      </c>
      <c r="D5" s="9">
        <v>65</v>
      </c>
    </row>
    <row r="6" spans="1:4" ht="27" customHeight="1">
      <c r="A6" s="6" t="s">
        <v>82</v>
      </c>
      <c r="B6" s="10" t="s">
        <v>70</v>
      </c>
      <c r="C6" s="11">
        <v>40</v>
      </c>
      <c r="D6" s="12">
        <v>41.25</v>
      </c>
    </row>
    <row r="7" spans="1:4" ht="27" customHeight="1">
      <c r="A7" s="6" t="s">
        <v>82</v>
      </c>
      <c r="B7" s="10" t="s">
        <v>62</v>
      </c>
      <c r="C7" s="11">
        <v>20</v>
      </c>
      <c r="D7" s="12">
        <v>42.75</v>
      </c>
    </row>
    <row r="8" spans="1:4" ht="27" customHeight="1">
      <c r="A8" s="6" t="s">
        <v>82</v>
      </c>
      <c r="B8" s="10" t="s">
        <v>64</v>
      </c>
      <c r="C8" s="11">
        <v>40</v>
      </c>
      <c r="D8" s="12">
        <v>48.55</v>
      </c>
    </row>
    <row r="9" spans="1:4" ht="27" customHeight="1">
      <c r="A9" s="6" t="s">
        <v>82</v>
      </c>
      <c r="B9" s="10" t="s">
        <v>63</v>
      </c>
      <c r="C9" s="11">
        <v>60</v>
      </c>
      <c r="D9" s="12">
        <v>23.25</v>
      </c>
    </row>
    <row r="10" spans="1:4" ht="27" customHeight="1">
      <c r="A10" s="6" t="s">
        <v>82</v>
      </c>
      <c r="B10" s="10" t="s">
        <v>71</v>
      </c>
      <c r="C10" s="11">
        <v>60</v>
      </c>
      <c r="D10" s="12">
        <v>23.3</v>
      </c>
    </row>
    <row r="11" spans="1:4" ht="27" customHeight="1">
      <c r="A11" s="13" t="s">
        <v>82</v>
      </c>
      <c r="B11" s="1" t="s">
        <v>38</v>
      </c>
      <c r="C11" s="14">
        <v>20</v>
      </c>
      <c r="D11" s="14">
        <v>11.7</v>
      </c>
    </row>
    <row r="12" spans="1:4" ht="27" customHeight="1">
      <c r="A12" s="13" t="s">
        <v>82</v>
      </c>
      <c r="B12" s="1" t="s">
        <v>67</v>
      </c>
      <c r="C12" s="14">
        <v>20</v>
      </c>
      <c r="D12" s="14">
        <v>33.5</v>
      </c>
    </row>
    <row r="13" spans="1:4" ht="27" customHeight="1">
      <c r="A13" s="13" t="s">
        <v>82</v>
      </c>
      <c r="B13" s="1" t="s">
        <v>68</v>
      </c>
      <c r="C13" s="14">
        <v>20</v>
      </c>
      <c r="D13" s="14">
        <v>30.05</v>
      </c>
    </row>
    <row r="14" spans="1:4" ht="27" customHeight="1">
      <c r="A14" s="13" t="s">
        <v>84</v>
      </c>
      <c r="B14" s="1" t="s">
        <v>38</v>
      </c>
      <c r="C14" s="14">
        <v>20</v>
      </c>
      <c r="D14" s="14">
        <v>22.5</v>
      </c>
    </row>
    <row r="15" spans="1:4" ht="27" customHeight="1">
      <c r="A15" s="13" t="s">
        <v>84</v>
      </c>
      <c r="B15" s="1" t="s">
        <v>70</v>
      </c>
      <c r="C15" s="14">
        <v>100</v>
      </c>
      <c r="D15" s="14">
        <v>40.6</v>
      </c>
    </row>
    <row r="16" spans="1:4" ht="27" customHeight="1">
      <c r="A16" s="13" t="s">
        <v>84</v>
      </c>
      <c r="B16" s="1" t="s">
        <v>78</v>
      </c>
      <c r="C16" s="14">
        <v>50</v>
      </c>
      <c r="D16" s="14">
        <v>0</v>
      </c>
    </row>
    <row r="17" spans="1:4" ht="27" customHeight="1">
      <c r="A17" s="13" t="s">
        <v>84</v>
      </c>
      <c r="B17" s="1" t="s">
        <v>46</v>
      </c>
      <c r="C17" s="14">
        <v>40</v>
      </c>
      <c r="D17" s="14">
        <v>53</v>
      </c>
    </row>
    <row r="18" spans="1:4" ht="27" customHeight="1">
      <c r="A18" s="13" t="s">
        <v>84</v>
      </c>
      <c r="B18" s="1" t="s">
        <v>71</v>
      </c>
      <c r="C18" s="14">
        <v>20</v>
      </c>
      <c r="D18" s="14">
        <v>143.9</v>
      </c>
    </row>
    <row r="19" spans="1:4" ht="27" customHeight="1">
      <c r="A19" s="13" t="s">
        <v>84</v>
      </c>
      <c r="B19" s="1" t="s">
        <v>63</v>
      </c>
      <c r="C19" s="14">
        <v>20</v>
      </c>
      <c r="D19" s="14">
        <v>31.3</v>
      </c>
    </row>
    <row r="20" spans="1:4" ht="27" customHeight="1">
      <c r="A20" s="13" t="s">
        <v>84</v>
      </c>
      <c r="B20" s="1" t="s">
        <v>62</v>
      </c>
      <c r="C20" s="14">
        <v>60</v>
      </c>
      <c r="D20" s="14">
        <v>0</v>
      </c>
    </row>
    <row r="21" spans="1:4" ht="27" customHeight="1">
      <c r="A21" s="13" t="s">
        <v>84</v>
      </c>
      <c r="B21" s="1" t="s">
        <v>64</v>
      </c>
      <c r="C21" s="14">
        <v>120</v>
      </c>
      <c r="D21" s="14">
        <v>148.9</v>
      </c>
    </row>
    <row r="22" spans="1:4" ht="27" customHeight="1">
      <c r="A22" s="13" t="s">
        <v>86</v>
      </c>
      <c r="B22" s="1" t="s">
        <v>46</v>
      </c>
      <c r="C22" s="14">
        <v>40</v>
      </c>
      <c r="D22" s="14">
        <v>73.75</v>
      </c>
    </row>
    <row r="23" spans="1:4" ht="27" customHeight="1">
      <c r="A23" s="13" t="s">
        <v>86</v>
      </c>
      <c r="B23" s="1" t="s">
        <v>71</v>
      </c>
      <c r="C23" s="14">
        <v>60</v>
      </c>
      <c r="D23" s="14">
        <v>19</v>
      </c>
    </row>
    <row r="24" spans="1:4" ht="27" customHeight="1">
      <c r="A24" s="13" t="s">
        <v>86</v>
      </c>
      <c r="B24" s="1" t="s">
        <v>63</v>
      </c>
      <c r="C24" s="14">
        <v>20</v>
      </c>
      <c r="D24" s="14">
        <v>74.5</v>
      </c>
    </row>
    <row r="25" spans="1:4" ht="27" customHeight="1">
      <c r="A25" s="13" t="s">
        <v>86</v>
      </c>
      <c r="B25" s="1" t="s">
        <v>70</v>
      </c>
      <c r="C25" s="14">
        <v>100</v>
      </c>
      <c r="D25" s="14">
        <v>15.75</v>
      </c>
    </row>
    <row r="26" spans="1:4" ht="27" customHeight="1">
      <c r="A26" s="13" t="s">
        <v>86</v>
      </c>
      <c r="B26" s="1" t="s">
        <v>67</v>
      </c>
      <c r="C26" s="14">
        <v>40</v>
      </c>
      <c r="D26" s="14">
        <v>23.25</v>
      </c>
    </row>
    <row r="27" spans="1:4" ht="27" customHeight="1">
      <c r="A27" s="13" t="s">
        <v>86</v>
      </c>
      <c r="B27" s="1" t="s">
        <v>38</v>
      </c>
      <c r="C27" s="14">
        <v>20</v>
      </c>
      <c r="D27" s="14">
        <v>21.75</v>
      </c>
    </row>
    <row r="28" spans="1:4" ht="27" customHeight="1">
      <c r="A28" s="13" t="s">
        <v>86</v>
      </c>
      <c r="B28" s="1" t="s">
        <v>68</v>
      </c>
      <c r="C28" s="14">
        <v>20</v>
      </c>
      <c r="D28" s="14">
        <v>30.25</v>
      </c>
    </row>
    <row r="29" spans="1:4" ht="27" customHeight="1">
      <c r="A29" s="13" t="s">
        <v>86</v>
      </c>
      <c r="B29" s="1" t="s">
        <v>62</v>
      </c>
      <c r="C29" s="14">
        <v>20</v>
      </c>
      <c r="D29" s="14">
        <v>34.25</v>
      </c>
    </row>
    <row r="30" spans="1:4" ht="27" customHeight="1">
      <c r="A30" s="13" t="s">
        <v>86</v>
      </c>
      <c r="B30" s="1" t="s">
        <v>64</v>
      </c>
      <c r="C30" s="14">
        <v>20</v>
      </c>
      <c r="D30" s="14">
        <v>47.5</v>
      </c>
    </row>
    <row r="31" spans="1:4" ht="27" customHeight="1">
      <c r="A31" s="13" t="s">
        <v>88</v>
      </c>
      <c r="B31" s="1" t="s">
        <v>46</v>
      </c>
      <c r="C31" s="14">
        <v>40</v>
      </c>
      <c r="D31" s="14">
        <v>20</v>
      </c>
    </row>
    <row r="32" spans="1:4" ht="27" customHeight="1">
      <c r="A32" s="13" t="s">
        <v>88</v>
      </c>
      <c r="B32" s="1" t="s">
        <v>70</v>
      </c>
      <c r="C32" s="14">
        <v>30</v>
      </c>
      <c r="D32" s="14">
        <v>33</v>
      </c>
    </row>
    <row r="33" spans="1:4" ht="27" customHeight="1">
      <c r="A33" s="13" t="s">
        <v>88</v>
      </c>
      <c r="B33" s="1" t="s">
        <v>62</v>
      </c>
      <c r="C33" s="14">
        <v>60</v>
      </c>
      <c r="D33" s="14">
        <v>47.75</v>
      </c>
    </row>
    <row r="34" spans="1:4" ht="27" customHeight="1">
      <c r="A34" s="13" t="s">
        <v>88</v>
      </c>
      <c r="B34" s="1" t="s">
        <v>64</v>
      </c>
      <c r="C34" s="14">
        <v>60</v>
      </c>
      <c r="D34" s="14">
        <v>45</v>
      </c>
    </row>
    <row r="35" spans="1:4" ht="27" customHeight="1">
      <c r="A35" s="13" t="s">
        <v>88</v>
      </c>
      <c r="B35" s="1" t="s">
        <v>38</v>
      </c>
      <c r="C35" s="14">
        <v>20</v>
      </c>
      <c r="D35" s="14">
        <v>24.25</v>
      </c>
    </row>
    <row r="36" spans="1:4" ht="27" customHeight="1">
      <c r="A36" s="13" t="s">
        <v>88</v>
      </c>
      <c r="B36" s="1" t="s">
        <v>63</v>
      </c>
      <c r="C36" s="14">
        <v>20</v>
      </c>
      <c r="D36" s="14">
        <v>48.25</v>
      </c>
    </row>
    <row r="37" spans="1:4" ht="27" customHeight="1">
      <c r="A37" s="13" t="s">
        <v>88</v>
      </c>
      <c r="B37" s="1" t="s">
        <v>71</v>
      </c>
      <c r="C37" s="14">
        <v>60</v>
      </c>
      <c r="D37" s="14">
        <v>18.5</v>
      </c>
    </row>
    <row r="38" spans="1:4" ht="27" customHeight="1">
      <c r="A38" s="13" t="s">
        <v>88</v>
      </c>
      <c r="B38" s="1" t="s">
        <v>68</v>
      </c>
      <c r="C38" s="14">
        <v>20</v>
      </c>
      <c r="D38" s="14">
        <v>73.25</v>
      </c>
    </row>
    <row r="39" spans="1:4" ht="27" customHeight="1">
      <c r="A39" s="13" t="s">
        <v>90</v>
      </c>
      <c r="B39" s="1" t="s">
        <v>64</v>
      </c>
      <c r="C39" s="14">
        <v>20</v>
      </c>
      <c r="D39" s="14">
        <v>30.75</v>
      </c>
    </row>
    <row r="40" spans="1:4" ht="27" customHeight="1">
      <c r="A40" s="13" t="s">
        <v>90</v>
      </c>
      <c r="B40" s="1" t="s">
        <v>62</v>
      </c>
      <c r="C40" s="14">
        <v>20</v>
      </c>
      <c r="D40" s="14">
        <v>61.5</v>
      </c>
    </row>
    <row r="41" spans="1:4" ht="27" customHeight="1">
      <c r="A41" s="13" t="s">
        <v>90</v>
      </c>
      <c r="B41" s="1" t="s">
        <v>46</v>
      </c>
      <c r="C41" s="14">
        <v>70</v>
      </c>
      <c r="D41" s="14">
        <v>29.25</v>
      </c>
    </row>
    <row r="42" spans="1:4" ht="27" customHeight="1">
      <c r="A42" s="13" t="s">
        <v>90</v>
      </c>
      <c r="B42" s="1" t="s">
        <v>101</v>
      </c>
      <c r="C42" s="14">
        <v>20</v>
      </c>
      <c r="D42" s="14">
        <v>23.75</v>
      </c>
    </row>
    <row r="43" spans="1:4" ht="27" customHeight="1">
      <c r="A43" s="13" t="s">
        <v>90</v>
      </c>
      <c r="B43" s="1" t="s">
        <v>67</v>
      </c>
      <c r="C43" s="14">
        <v>70</v>
      </c>
      <c r="D43" s="14">
        <v>0</v>
      </c>
    </row>
    <row r="44" spans="1:4" ht="27" customHeight="1">
      <c r="A44" s="13" t="s">
        <v>90</v>
      </c>
      <c r="B44" s="1" t="s">
        <v>70</v>
      </c>
      <c r="C44" s="14">
        <v>20</v>
      </c>
      <c r="D44" s="14">
        <v>42.75</v>
      </c>
    </row>
    <row r="45" spans="1:4" ht="27" customHeight="1">
      <c r="A45" s="13" t="s">
        <v>90</v>
      </c>
      <c r="B45" s="1" t="s">
        <v>38</v>
      </c>
      <c r="C45" s="14">
        <v>20</v>
      </c>
      <c r="D45" s="14">
        <v>31.5</v>
      </c>
    </row>
    <row r="46" spans="1:4" ht="27" customHeight="1">
      <c r="A46" s="13" t="s">
        <v>90</v>
      </c>
      <c r="B46" s="1" t="s">
        <v>71</v>
      </c>
      <c r="C46" s="14">
        <v>40</v>
      </c>
      <c r="D46" s="14">
        <v>0</v>
      </c>
    </row>
    <row r="47" spans="1:4" ht="27" customHeight="1">
      <c r="A47" s="13" t="s">
        <v>90</v>
      </c>
      <c r="B47" s="1" t="s">
        <v>63</v>
      </c>
      <c r="C47" s="14">
        <v>20</v>
      </c>
      <c r="D47" s="14">
        <v>73.75</v>
      </c>
    </row>
    <row r="48" spans="1:4" ht="27" customHeight="1">
      <c r="A48" s="13" t="s">
        <v>90</v>
      </c>
      <c r="B48" s="1" t="s">
        <v>59</v>
      </c>
      <c r="C48" s="14">
        <v>30</v>
      </c>
      <c r="D48" s="14">
        <v>36.75</v>
      </c>
    </row>
    <row r="49" spans="1:4" ht="27" customHeight="1">
      <c r="A49" s="13" t="s">
        <v>92</v>
      </c>
      <c r="B49" s="1" t="s">
        <v>70</v>
      </c>
      <c r="C49" s="14">
        <v>20</v>
      </c>
      <c r="D49" s="14">
        <v>10.4</v>
      </c>
    </row>
    <row r="50" spans="1:4" ht="27" customHeight="1">
      <c r="A50" s="13" t="s">
        <v>92</v>
      </c>
      <c r="B50" s="1" t="s">
        <v>67</v>
      </c>
      <c r="C50" s="14">
        <v>40</v>
      </c>
      <c r="D50" s="14">
        <v>0</v>
      </c>
    </row>
    <row r="51" spans="1:4" ht="27" customHeight="1">
      <c r="A51" s="13" t="s">
        <v>92</v>
      </c>
      <c r="B51" s="1" t="s">
        <v>38</v>
      </c>
      <c r="C51" s="14">
        <v>20</v>
      </c>
      <c r="D51" s="14">
        <v>42.5</v>
      </c>
    </row>
    <row r="52" spans="1:4" ht="27" customHeight="1">
      <c r="A52" s="13" t="s">
        <v>92</v>
      </c>
      <c r="B52" s="1" t="s">
        <v>71</v>
      </c>
      <c r="C52" s="14">
        <v>20</v>
      </c>
      <c r="D52" s="14">
        <v>0</v>
      </c>
    </row>
    <row r="53" spans="1:4" ht="27" customHeight="1">
      <c r="A53" s="13" t="s">
        <v>92</v>
      </c>
      <c r="B53" s="1" t="s">
        <v>63</v>
      </c>
      <c r="C53" s="14">
        <v>20</v>
      </c>
      <c r="D53" s="14">
        <v>0</v>
      </c>
    </row>
    <row r="54" spans="1:4" ht="27" customHeight="1">
      <c r="A54" s="13" t="s">
        <v>92</v>
      </c>
      <c r="B54" s="1" t="s">
        <v>64</v>
      </c>
      <c r="C54" s="14">
        <v>20</v>
      </c>
      <c r="D54" s="14">
        <v>61.9</v>
      </c>
    </row>
    <row r="55" spans="1:4" ht="27" customHeight="1">
      <c r="A55" s="13" t="s">
        <v>92</v>
      </c>
      <c r="B55" s="1" t="s">
        <v>46</v>
      </c>
      <c r="C55" s="14">
        <v>20</v>
      </c>
      <c r="D55" s="14">
        <v>19.899999999999999</v>
      </c>
    </row>
    <row r="56" spans="1:4" ht="27" customHeight="1">
      <c r="A56" s="13" t="s">
        <v>92</v>
      </c>
      <c r="B56" s="1" t="s">
        <v>62</v>
      </c>
      <c r="C56" s="14">
        <v>20</v>
      </c>
      <c r="D56" s="14">
        <v>45.3</v>
      </c>
    </row>
    <row r="57" spans="1:4" ht="27" customHeight="1">
      <c r="A57" s="1" t="s">
        <v>94</v>
      </c>
      <c r="B57" s="1" t="s">
        <v>70</v>
      </c>
      <c r="C57" s="14">
        <v>55</v>
      </c>
      <c r="D57" s="14">
        <v>38.200000000000003</v>
      </c>
    </row>
    <row r="58" spans="1:4" ht="27" customHeight="1">
      <c r="A58" s="1" t="s">
        <v>94</v>
      </c>
      <c r="B58" s="1" t="s">
        <v>71</v>
      </c>
      <c r="C58" s="14">
        <v>20</v>
      </c>
      <c r="D58" s="14">
        <v>34.200000000000003</v>
      </c>
    </row>
    <row r="59" spans="1:4" ht="27" customHeight="1">
      <c r="A59" s="1" t="s">
        <v>94</v>
      </c>
      <c r="B59" s="1" t="s">
        <v>63</v>
      </c>
      <c r="C59" s="14">
        <v>20</v>
      </c>
      <c r="D59" s="14">
        <v>37.700000000000003</v>
      </c>
    </row>
    <row r="60" spans="1:4" ht="27" customHeight="1">
      <c r="A60" s="1" t="s">
        <v>94</v>
      </c>
      <c r="B60" s="1" t="s">
        <v>38</v>
      </c>
      <c r="C60" s="14">
        <v>40</v>
      </c>
      <c r="D60" s="14">
        <v>25.4</v>
      </c>
    </row>
    <row r="61" spans="1:4" ht="27" customHeight="1">
      <c r="A61" s="1" t="s">
        <v>94</v>
      </c>
      <c r="B61" s="1" t="s">
        <v>64</v>
      </c>
      <c r="C61" s="14">
        <v>20</v>
      </c>
      <c r="D61" s="14">
        <v>25.3</v>
      </c>
    </row>
    <row r="62" spans="1:4" ht="27" customHeight="1">
      <c r="A62" s="1" t="s">
        <v>94</v>
      </c>
      <c r="B62" s="1" t="s">
        <v>62</v>
      </c>
      <c r="C62" s="14">
        <v>40</v>
      </c>
      <c r="D62" s="14">
        <v>0</v>
      </c>
    </row>
    <row r="63" spans="1:4" ht="27" customHeight="1">
      <c r="A63" s="1" t="s">
        <v>94</v>
      </c>
      <c r="B63" s="1" t="s">
        <v>102</v>
      </c>
      <c r="C63" s="14">
        <v>20</v>
      </c>
      <c r="D63" s="14">
        <v>47.8</v>
      </c>
    </row>
    <row r="64" spans="1:4" ht="27" customHeight="1">
      <c r="A64" s="1" t="s">
        <v>94</v>
      </c>
      <c r="B64" s="1" t="s">
        <v>67</v>
      </c>
      <c r="C64" s="14">
        <v>20</v>
      </c>
      <c r="D64" s="14">
        <v>26.4</v>
      </c>
    </row>
    <row r="65" spans="1:4" ht="27" customHeight="1">
      <c r="A65" s="1" t="s">
        <v>136</v>
      </c>
      <c r="B65" s="1" t="s">
        <v>46</v>
      </c>
      <c r="C65" s="14">
        <v>60</v>
      </c>
      <c r="D65" s="14">
        <v>23.5</v>
      </c>
    </row>
    <row r="66" spans="1:4" ht="27" customHeight="1">
      <c r="A66" s="1" t="s">
        <v>136</v>
      </c>
      <c r="B66" s="1" t="s">
        <v>70</v>
      </c>
      <c r="C66" s="14">
        <v>30</v>
      </c>
      <c r="D66" s="14">
        <v>43.75</v>
      </c>
    </row>
    <row r="67" spans="1:4" ht="27" customHeight="1">
      <c r="A67" s="1" t="s">
        <v>136</v>
      </c>
      <c r="B67" s="1" t="s">
        <v>71</v>
      </c>
      <c r="C67" s="14">
        <v>40</v>
      </c>
      <c r="D67" s="14">
        <v>52.5</v>
      </c>
    </row>
    <row r="68" spans="1:4" ht="27" customHeight="1">
      <c r="A68" s="1" t="s">
        <v>136</v>
      </c>
      <c r="B68" s="1" t="s">
        <v>63</v>
      </c>
      <c r="C68" s="14">
        <v>20</v>
      </c>
      <c r="D68" s="14">
        <v>21.25</v>
      </c>
    </row>
    <row r="69" spans="1:4" ht="27" customHeight="1">
      <c r="A69" s="1" t="s">
        <v>136</v>
      </c>
      <c r="B69" s="1" t="s">
        <v>68</v>
      </c>
      <c r="C69" s="14">
        <v>20</v>
      </c>
      <c r="D69" s="14">
        <v>75.25</v>
      </c>
    </row>
    <row r="70" spans="1:4" ht="27" customHeight="1">
      <c r="A70" s="1" t="s">
        <v>136</v>
      </c>
      <c r="B70" s="1" t="s">
        <v>137</v>
      </c>
      <c r="C70" s="14">
        <v>20</v>
      </c>
      <c r="D70" s="14">
        <v>0</v>
      </c>
    </row>
    <row r="71" spans="1:4" ht="27" customHeight="1">
      <c r="A71" s="1" t="s">
        <v>136</v>
      </c>
      <c r="B71" s="1" t="s">
        <v>67</v>
      </c>
      <c r="C71" s="14">
        <v>20</v>
      </c>
      <c r="D71" s="14">
        <v>0</v>
      </c>
    </row>
    <row r="72" spans="1:4" ht="27" customHeight="1">
      <c r="A72" s="1" t="s">
        <v>136</v>
      </c>
      <c r="B72" s="1" t="s">
        <v>62</v>
      </c>
      <c r="C72" s="14">
        <v>40</v>
      </c>
      <c r="D72" s="14">
        <v>24.25</v>
      </c>
    </row>
    <row r="73" spans="1:4" ht="27" customHeight="1">
      <c r="A73" s="1" t="s">
        <v>136</v>
      </c>
      <c r="B73" s="1" t="s">
        <v>65</v>
      </c>
      <c r="C73" s="14">
        <v>20</v>
      </c>
      <c r="D73" s="14">
        <v>69.5</v>
      </c>
    </row>
    <row r="74" spans="1:4" ht="27" customHeight="1">
      <c r="A74" s="1" t="s">
        <v>136</v>
      </c>
      <c r="B74" s="1" t="s">
        <v>64</v>
      </c>
      <c r="C74" s="14">
        <v>40</v>
      </c>
      <c r="D74" s="14">
        <v>0</v>
      </c>
    </row>
  </sheetData>
  <mergeCells count="3">
    <mergeCell ref="A1:D1"/>
    <mergeCell ref="A2:D2"/>
    <mergeCell ref="A3:D3"/>
  </mergeCells>
  <dataValidations count="2">
    <dataValidation type="whole" sqref="C5:C459" xr:uid="{00000000-0002-0000-0400-000000000000}">
      <formula1>1</formula1>
      <formula2>1000000</formula2>
    </dataValidation>
    <dataValidation type="whole" sqref="D5:D459" xr:uid="{00000000-0002-0000-04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showGridLines="0" workbookViewId="0"/>
  </sheetViews>
  <sheetFormatPr baseColWidth="10" defaultColWidth="8.83203125" defaultRowHeight="14"/>
  <cols>
    <col min="1" max="1" width="28" customWidth="1"/>
    <col min="2" max="2" width="40" customWidth="1"/>
    <col min="3" max="3" width="42" customWidth="1"/>
    <col min="4" max="4" width="16" customWidth="1"/>
    <col min="5" max="5" width="12" customWidth="1"/>
  </cols>
  <sheetData>
    <row r="1" spans="1:5" ht="24" customHeight="1">
      <c r="A1" s="74" t="s">
        <v>103</v>
      </c>
      <c r="B1" s="74" t="s">
        <v>103</v>
      </c>
      <c r="C1" s="74" t="s">
        <v>103</v>
      </c>
      <c r="D1" s="74" t="s">
        <v>103</v>
      </c>
      <c r="E1" s="74" t="s">
        <v>103</v>
      </c>
    </row>
    <row r="2" spans="1:5" ht="24" customHeight="1">
      <c r="A2" s="75" t="s">
        <v>104</v>
      </c>
      <c r="B2" s="75" t="s">
        <v>104</v>
      </c>
      <c r="C2" s="75" t="s">
        <v>104</v>
      </c>
      <c r="D2" s="75" t="s">
        <v>104</v>
      </c>
      <c r="E2" s="75" t="s">
        <v>104</v>
      </c>
    </row>
    <row r="3" spans="1:5" ht="24" customHeight="1">
      <c r="A3" s="76" t="s">
        <v>105</v>
      </c>
      <c r="B3" s="76" t="s">
        <v>105</v>
      </c>
      <c r="C3" s="76" t="s">
        <v>105</v>
      </c>
      <c r="D3" s="76" t="s">
        <v>105</v>
      </c>
      <c r="E3" s="76" t="s">
        <v>105</v>
      </c>
    </row>
    <row r="4" spans="1:5" ht="17">
      <c r="A4" s="36" t="s">
        <v>106</v>
      </c>
      <c r="B4" s="36" t="s">
        <v>107</v>
      </c>
      <c r="C4" s="36" t="s">
        <v>108</v>
      </c>
      <c r="D4" s="36" t="s">
        <v>109</v>
      </c>
      <c r="E4" s="36" t="s">
        <v>110</v>
      </c>
    </row>
    <row r="5" spans="1:5" ht="30">
      <c r="A5" s="13" t="s">
        <v>40</v>
      </c>
      <c r="B5" t="s">
        <v>111</v>
      </c>
      <c r="C5" s="37" t="s">
        <v>112</v>
      </c>
      <c r="D5" t="s">
        <v>113</v>
      </c>
      <c r="E5" s="38">
        <v>3</v>
      </c>
    </row>
    <row r="6" spans="1:5" ht="16">
      <c r="A6" s="6" t="s">
        <v>36</v>
      </c>
      <c r="B6" t="s">
        <v>114</v>
      </c>
      <c r="C6" t="s">
        <v>115</v>
      </c>
      <c r="D6" t="s">
        <v>113</v>
      </c>
      <c r="E6">
        <v>2</v>
      </c>
    </row>
    <row r="7" spans="1:5" ht="16">
      <c r="A7" s="13" t="s">
        <v>42</v>
      </c>
      <c r="B7" t="s">
        <v>116</v>
      </c>
      <c r="C7" t="s">
        <v>117</v>
      </c>
      <c r="D7" t="s">
        <v>113</v>
      </c>
      <c r="E7">
        <v>1</v>
      </c>
    </row>
    <row r="8" spans="1:5" ht="16">
      <c r="A8" s="60" t="s">
        <v>44</v>
      </c>
      <c r="B8" t="s">
        <v>118</v>
      </c>
      <c r="D8" t="s">
        <v>119</v>
      </c>
    </row>
  </sheetData>
  <mergeCells count="3">
    <mergeCell ref="A1:E1"/>
    <mergeCell ref="A2:E2"/>
    <mergeCell ref="A3:E3"/>
  </mergeCells>
  <dataValidations count="2">
    <dataValidation type="list" sqref="D5:D8" xr:uid="{00000000-0002-0000-0500-000000000000}">
      <formula1>"Yes,No"</formula1>
    </dataValidation>
    <dataValidation type="whole" sqref="E5:E8" xr:uid="{00000000-0002-0000-0500-000001000000}">
      <formula1>1</formula1>
      <formula2>9999</formula2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"/>
  <sheetViews>
    <sheetView showGridLines="0" workbookViewId="0"/>
  </sheetViews>
  <sheetFormatPr baseColWidth="10" defaultColWidth="8.83203125" defaultRowHeight="16"/>
  <cols>
    <col min="1" max="1" width="24" style="1" customWidth="1"/>
    <col min="2" max="2" width="13" style="1" customWidth="1"/>
    <col min="3" max="3" width="30" style="1" customWidth="1"/>
    <col min="4" max="4" width="58" style="1" customWidth="1"/>
    <col min="5" max="5" width="28" style="1" customWidth="1"/>
    <col min="6" max="6" width="13" style="1" customWidth="1"/>
    <col min="7" max="7" width="12" style="1" customWidth="1"/>
    <col min="8" max="16384" width="8.83203125" style="1"/>
  </cols>
  <sheetData>
    <row r="1" spans="1:7" ht="24" customHeight="1">
      <c r="A1" s="74" t="s">
        <v>120</v>
      </c>
      <c r="B1" s="74" t="s">
        <v>120</v>
      </c>
      <c r="C1" s="74" t="s">
        <v>120</v>
      </c>
      <c r="D1" s="74" t="s">
        <v>120</v>
      </c>
      <c r="E1" s="74" t="s">
        <v>120</v>
      </c>
      <c r="F1" s="74" t="s">
        <v>120</v>
      </c>
      <c r="G1" s="74" t="s">
        <v>120</v>
      </c>
    </row>
    <row r="2" spans="1:7" ht="24" customHeight="1">
      <c r="A2" s="75" t="s">
        <v>121</v>
      </c>
      <c r="B2" s="75" t="s">
        <v>121</v>
      </c>
      <c r="C2" s="75" t="s">
        <v>121</v>
      </c>
      <c r="D2" s="75" t="s">
        <v>121</v>
      </c>
      <c r="E2" s="75" t="s">
        <v>121</v>
      </c>
      <c r="F2" s="75" t="s">
        <v>121</v>
      </c>
      <c r="G2" s="75" t="s">
        <v>121</v>
      </c>
    </row>
    <row r="3" spans="1:7" ht="24" customHeight="1">
      <c r="A3" s="76" t="s">
        <v>122</v>
      </c>
      <c r="B3" s="76" t="s">
        <v>122</v>
      </c>
      <c r="C3" s="76" t="s">
        <v>122</v>
      </c>
      <c r="D3" s="76" t="s">
        <v>122</v>
      </c>
      <c r="E3" s="76" t="s">
        <v>122</v>
      </c>
      <c r="F3" s="76" t="s">
        <v>122</v>
      </c>
      <c r="G3" s="76" t="s">
        <v>122</v>
      </c>
    </row>
    <row r="4" spans="1:7" ht="17">
      <c r="A4" s="36" t="s">
        <v>123</v>
      </c>
      <c r="B4" s="36" t="s">
        <v>30</v>
      </c>
      <c r="C4" s="36" t="s">
        <v>29</v>
      </c>
      <c r="D4" s="36" t="s">
        <v>124</v>
      </c>
      <c r="E4" s="36" t="s">
        <v>106</v>
      </c>
      <c r="F4" s="36" t="s">
        <v>125</v>
      </c>
      <c r="G4" s="36" t="s">
        <v>126</v>
      </c>
    </row>
    <row r="5" spans="1:7" ht="51">
      <c r="A5" s="1" t="s">
        <v>127</v>
      </c>
      <c r="B5" s="58">
        <v>46243</v>
      </c>
      <c r="C5" s="56" t="s">
        <v>128</v>
      </c>
      <c r="D5" s="56" t="s">
        <v>129</v>
      </c>
      <c r="E5" s="1" t="s">
        <v>44</v>
      </c>
      <c r="F5" s="58">
        <v>46305</v>
      </c>
      <c r="G5" s="1" t="s">
        <v>113</v>
      </c>
    </row>
    <row r="6" spans="1:7">
      <c r="A6" s="1" t="s">
        <v>130</v>
      </c>
      <c r="B6" s="59">
        <v>46236</v>
      </c>
      <c r="C6" s="1" t="s">
        <v>131</v>
      </c>
      <c r="D6" s="1" t="s">
        <v>132</v>
      </c>
      <c r="E6" s="57" t="s">
        <v>40</v>
      </c>
    </row>
    <row r="7" spans="1:7">
      <c r="A7" s="1" t="s">
        <v>133</v>
      </c>
      <c r="B7" s="59">
        <v>46236</v>
      </c>
      <c r="C7" s="1" t="s">
        <v>131</v>
      </c>
      <c r="D7" s="1" t="s">
        <v>132</v>
      </c>
      <c r="E7" s="57" t="s">
        <v>36</v>
      </c>
    </row>
  </sheetData>
  <mergeCells count="3">
    <mergeCell ref="A1:G1"/>
    <mergeCell ref="A2:G2"/>
    <mergeCell ref="A3:G3"/>
  </mergeCells>
  <dataValidations count="1">
    <dataValidation type="list" sqref="G5:G7" xr:uid="{00000000-0002-0000-06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Tournaments</vt:lpstr>
      <vt:lpstr>Tournament Results</vt:lpstr>
      <vt:lpstr>Cash Games</vt:lpstr>
      <vt:lpstr>Cash Game Results</vt:lpstr>
      <vt:lpstr>Event Photos</vt:lpstr>
      <vt:lpstr>Announcements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Oliver</cp:lastModifiedBy>
  <dcterms:modified xsi:type="dcterms:W3CDTF">2026-08-16T04:05:58Z</dcterms:modified>
</cp:coreProperties>
</file>