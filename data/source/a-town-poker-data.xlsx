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045395FB-741A-744E-9E6A-EC157686C7E9}" xr6:coauthVersionLast="47" xr6:coauthVersionMax="47" xr10:uidLastSave="{00000000-0000-0000-0000-000000000000}"/>
  <bookViews>
    <workbookView xWindow="0" yWindow="620" windowWidth="38400" windowHeight="19500" activeTab="6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<sst xmlns="http://schemas.openxmlformats.org/spreadsheetml/2006/main" count="747" uniqueCount="156">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</sst>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7">
  <tableColumns count="9">
    <tableColumn id="1" xr3:uid="{00000000-0010-0000-0100-000001000000}" name="Tournament ID" dataDxfId="26"/>
    <tableColumn id="2" xr3:uid="{00000000-0010-0000-0100-000002000000}" name="Player" dataDxfId="25"/>
    <tableColumn id="3" xr3:uid="{00000000-0010-0000-0100-000003000000}" name="Total Buy-In" dataDxfId="24"/>
    <tableColumn id="4" xr3:uid="{00000000-0010-0000-0100-000004000000}" name="Placement" dataDxfId="23"/>
    <tableColumn id="5" xr3:uid="{00000000-0010-0000-0100-000005000000}" name="Placement Payout" dataDxfId="22"/>
    <tableColumn id="6" xr3:uid="{00000000-0010-0000-0100-000006000000}" name="Bonus Payout" dataDxfId="21"/>
    <tableColumn id="7" xr3:uid="{00000000-0010-0000-0100-000007000000}" name="Elimination Level" dataDxfId="20"/>
    <tableColumn id="9" xr3:uid="{00000000-0010-0000-0100-000009000000}" name="Eliminated At" dataDxfId="19"/>
    <tableColumn id="10" xr3:uid="{00000000-0010-0000-0100-00000A000000}" name="Eliminated By" dataDxfId="18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16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05" totalsRowShown="0" dataDxfId="17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6"/>
    <tableColumn id="2" xr3:uid="{00000000-0010-0000-0300-000002000000}" name="Player" dataDxfId="15"/>
    <tableColumn id="3" xr3:uid="{00000000-0010-0000-0300-000003000000}" name="Amount Buy-In" dataDxfId="14"/>
    <tableColumn id="4" xr3:uid="{00000000-0010-0000-0300-000004000000}" name="Amount At End" dataDxfId="1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2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1">
  <autoFilter ref="A4:G7" xr:uid="{00000000-0009-0000-0100-000008000000}"/>
  <tableColumns count="7">
    <tableColumn id="1" xr3:uid="{00000000-0010-0000-0500-000001000000}" name="Announcement ID" dataDxfId="10"/>
    <tableColumn id="2" xr3:uid="{00000000-0010-0000-0500-000002000000}" name="Date" dataDxfId="9"/>
    <tableColumn id="3" xr3:uid="{00000000-0010-0000-0500-000003000000}" name="Title" dataDxfId="8"/>
    <tableColumn id="4" xr3:uid="{00000000-0010-0000-0500-000004000000}" name="Body" dataDxfId="7"/>
    <tableColumn id="5" xr3:uid="{00000000-0010-0000-0500-000005000000}" name="Event ID" dataDxfId="6"/>
    <tableColumn id="6" xr3:uid="{00000000-0010-0000-0500-000006000000}" name="Expires" dataDxfId="5"/>
    <tableColumn id="7" xr3:uid="{00000000-0010-0000-0500-000007000000}" name="Pinned" dataDxfId="4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28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6" t="s">
        <v>0</v>
      </c>
      <c r="B1" s="76" t="s">
        <v>0</v>
      </c>
      <c r="C1" s="76" t="s">
        <v>0</v>
      </c>
      <c r="D1" s="76" t="s">
        <v>0</v>
      </c>
      <c r="E1" s="76" t="s">
        <v>0</v>
      </c>
      <c r="F1" s="76" t="s">
        <v>0</v>
      </c>
      <c r="G1" s="76" t="s">
        <v>0</v>
      </c>
      <c r="H1" s="76" t="s">
        <v>0</v>
      </c>
    </row>
    <row r="2" spans="1:8" ht="28" customHeight="1">
      <c r="A2" s="76" t="s">
        <v>0</v>
      </c>
      <c r="B2" s="76" t="s">
        <v>0</v>
      </c>
      <c r="C2" s="76" t="s">
        <v>0</v>
      </c>
      <c r="D2" s="76" t="s">
        <v>0</v>
      </c>
      <c r="E2" s="76" t="s">
        <v>0</v>
      </c>
      <c r="F2" s="76" t="s">
        <v>0</v>
      </c>
      <c r="G2" s="76" t="s">
        <v>0</v>
      </c>
      <c r="H2" s="76" t="s">
        <v>0</v>
      </c>
    </row>
    <row r="3" spans="1:8" ht="24" customHeight="1">
      <c r="A3" s="77" t="s">
        <v>1</v>
      </c>
      <c r="B3" s="77" t="s">
        <v>1</v>
      </c>
      <c r="C3" s="77" t="s">
        <v>1</v>
      </c>
      <c r="D3" s="77" t="s">
        <v>1</v>
      </c>
      <c r="E3" s="77" t="s">
        <v>1</v>
      </c>
      <c r="F3" s="77" t="s">
        <v>1</v>
      </c>
      <c r="G3" s="77" t="s">
        <v>1</v>
      </c>
      <c r="H3" s="77" t="s">
        <v>1</v>
      </c>
    </row>
    <row r="5" spans="1:8" ht="25" customHeight="1">
      <c r="A5" s="78" t="s">
        <v>2</v>
      </c>
      <c r="B5" s="78" t="s">
        <v>2</v>
      </c>
      <c r="C5" s="78" t="s">
        <v>2</v>
      </c>
      <c r="D5" s="78" t="s">
        <v>2</v>
      </c>
      <c r="E5" s="78" t="s">
        <v>2</v>
      </c>
      <c r="F5" s="78" t="s">
        <v>3</v>
      </c>
      <c r="G5" s="78" t="s">
        <v>3</v>
      </c>
      <c r="H5" s="78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4" t="s">
        <v>8</v>
      </c>
      <c r="G7" s="74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12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4" t="s">
        <v>12</v>
      </c>
      <c r="G9" s="74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4" t="s">
        <v>16</v>
      </c>
      <c r="G11" s="74" t="s">
        <v>16</v>
      </c>
      <c r="H11" s="41">
        <f>COUNTA('Tournament Results'!A5:A511)+COUNTA('Cash Game Results'!A5:A500)</f>
        <v>154</v>
      </c>
    </row>
    <row r="13" spans="1:8" ht="28" customHeight="1"/>
    <row r="14" spans="1:8" ht="28" customHeight="1">
      <c r="A14" s="75" t="s">
        <v>17</v>
      </c>
      <c r="B14" s="75" t="s">
        <v>17</v>
      </c>
      <c r="C14" s="75" t="s">
        <v>17</v>
      </c>
      <c r="D14" s="75" t="s">
        <v>17</v>
      </c>
      <c r="E14" s="75" t="s">
        <v>17</v>
      </c>
      <c r="F14" s="75" t="s">
        <v>17</v>
      </c>
      <c r="G14" s="75" t="s">
        <v>17</v>
      </c>
      <c r="H14" s="75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sqref="A1:I1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82" t="s">
        <v>48</v>
      </c>
      <c r="B1" s="82"/>
      <c r="C1" s="82"/>
      <c r="D1" s="82"/>
      <c r="E1" s="82"/>
      <c r="F1" s="82"/>
      <c r="G1" s="82"/>
      <c r="H1" s="83"/>
      <c r="I1" s="83"/>
    </row>
    <row r="2" spans="1:9" ht="27" customHeight="1">
      <c r="A2" s="84" t="s">
        <v>49</v>
      </c>
      <c r="B2" s="84"/>
      <c r="C2" s="84"/>
      <c r="D2" s="84"/>
      <c r="E2" s="84"/>
      <c r="F2" s="84"/>
      <c r="G2" s="84"/>
      <c r="H2" s="85"/>
      <c r="I2" s="85"/>
    </row>
    <row r="3" spans="1:9" ht="27" customHeight="1">
      <c r="A3" s="86" t="s">
        <v>50</v>
      </c>
      <c r="B3" s="86"/>
      <c r="C3" s="86"/>
      <c r="D3" s="86"/>
      <c r="E3" s="86"/>
      <c r="F3" s="86"/>
      <c r="G3" s="86"/>
      <c r="H3" s="85"/>
      <c r="I3" s="85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68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6"/>
  <sheetViews>
    <sheetView showGridLines="0" workbookViewId="0"/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20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20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G5:G199 F5:F16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5"/>
  <sheetViews>
    <sheetView showGridLines="0" workbookViewId="0"/>
  </sheetViews>
  <sheetFormatPr baseColWidth="10" defaultColWidth="8.83203125" defaultRowHeight="16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3" customHeight="1">
      <c r="A1" s="82" t="s">
        <v>109</v>
      </c>
      <c r="B1" s="82"/>
      <c r="C1" s="82"/>
      <c r="D1" s="82"/>
    </row>
    <row r="2" spans="1:4" ht="23" customHeight="1">
      <c r="A2" s="84" t="s">
        <v>110</v>
      </c>
      <c r="B2" s="84"/>
      <c r="C2" s="84"/>
      <c r="D2" s="84"/>
    </row>
    <row r="3" spans="1:4" ht="23" customHeight="1">
      <c r="A3" s="87" t="s">
        <v>111</v>
      </c>
      <c r="B3" s="87"/>
      <c r="C3" s="87"/>
      <c r="D3" s="87"/>
    </row>
    <row r="4" spans="1:4" ht="23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3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3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3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3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3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3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3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3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3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3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3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3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3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3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3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3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3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3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3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3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3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3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3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3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3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3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3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3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3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3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3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3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3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3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3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3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3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3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3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3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3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3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3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3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3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3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3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3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3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3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3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3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3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3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3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3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3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3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3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3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3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3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3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3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3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3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3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3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3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3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3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3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3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3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3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3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3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3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3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3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3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3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3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3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3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3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3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3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3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3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3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3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3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3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3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3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3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3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3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3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3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tabSelected="1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68" t="s">
        <v>147</v>
      </c>
      <c r="B1" s="68"/>
      <c r="C1" s="68"/>
      <c r="D1" s="68"/>
      <c r="E1" s="68"/>
    </row>
    <row r="2" spans="1:5" ht="28" customHeight="1">
      <c r="A2" s="69" t="s">
        <v>148</v>
      </c>
      <c r="B2" s="69"/>
      <c r="C2" s="69"/>
      <c r="D2" s="69"/>
      <c r="E2" s="69"/>
    </row>
    <row r="3" spans="1:5" ht="28" customHeight="1">
      <c r="A3" s="70" t="s">
        <v>149</v>
      </c>
      <c r="B3" s="70"/>
      <c r="C3" s="70"/>
      <c r="D3" s="70"/>
      <c r="E3" s="70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2026-08-30T14:34:16Z</dcterms:modified>
</cp:coreProperties>
</file>