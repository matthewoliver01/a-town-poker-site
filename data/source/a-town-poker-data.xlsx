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8C9BC17B-B916-DE49-8C8D-67EE111387A3}" xr6:coauthVersionLast="47" xr6:coauthVersionMax="47" xr10:uidLastSave="{00000000-0000-0000-0000-000000000000}"/>
  <bookViews>
    <workbookView xWindow="0" yWindow="620" windowWidth="38400" windowHeight="1950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  <sheet name="Blind Schedul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<sst xmlns="http://schemas.openxmlformats.org/spreadsheetml/2006/main" count="896" uniqueCount="172">
  <si>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</si>
  <si>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</si>
  <si>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</si>
  <si>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</si>
  <si>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</si>
  <si>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</si>
  <si>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</si>
  <si>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</si>
  <si>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</si>
  <si>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</si>
  <si>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</si>
  <si>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</si>
  <si>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</si>
  <si>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</si>
  <si>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</si>
  <si>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</si>
  <si>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</si>
  <si>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</si>
  <si>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</si>
  <si>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</si>
  <si>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</si>
  <si>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</si>
  <si>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</si>
  <si>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</si>
  <si>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</si>
  <si>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</si>
  <si>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</si>
  <si>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</si>
  <si>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</si>
  <si>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</si>
  <si>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</si>
  <si>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</si>
  <si>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</si>
  <si>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</si>
  <si>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</si>
  <si>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</si>
  <si>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</si>
  <si>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</si>
  <si>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</si>
  <si>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</si>
  <si>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</si>
  <si>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</si>
  <si>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</si>
  <si>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</si>
  <si>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</si>
  <si>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</si>
  <si>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</si>
  <si>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upcoming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</si>
  <si>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</si>
  <si>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</si>
  <si>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</si>
  <si>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</si>
  <si>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</si>
  <si>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</si>
  <si>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</si>
  <si>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</si>
  <si>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</si>
  <si>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</si>
  <si>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</si>
  <si>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</si>
  <si>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</si>
  <si>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</si>
  <si>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</si>
  <si>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</si>
  <si>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</si>
  <si>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</si>
  <si>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</si>
  <si>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</si>
  <si>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</si>
  <si>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</si>
  <si>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</si>
  <si>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</si>
  <si>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</si>
  <si>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</si>
  <si>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</si>
  <si>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</si>
  <si>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</si>
  <si>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</si>
  <si>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David B.</t>
  </si>
  <si>
    <t>Ethan N.</t>
  </si>
  <si>
    <t>Dimple P.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</si>
  <si>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</si>
  <si>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</si>
  <si>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</si>
  <si>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</si>
  <si>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</si>
  <si>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8 PM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</si>
  <si>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</si>
  <si>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</si>
  <si>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</si>
  <si>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</si>
  <si>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</si>
  <si>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</si>
  <si>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</si>
  <si>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</si>
  <si>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</si>
  <si>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</si>
  <si>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</si>
  <si>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</si>
  <si>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cash-game-2026-08-15</t>
  </si>
  <si>
    <t>Saturday 8/15/26</t>
  </si>
  <si>
    <t>cash-game-2026-08-19</t>
  </si>
  <si>
    <t>Wednesday 8/19/26</t>
  </si>
  <si>
    <t>cash-game-2026-08-22</t>
  </si>
  <si>
    <t>Saturday 8/22/26</t>
  </si>
  <si>
    <t>cash-game-2026-08-26</t>
  </si>
  <si>
    <t>Wednesday 8/26/26</t>
  </si>
  <si>
    <t>cash-game-2026-08-29</t>
  </si>
  <si>
    <t>Saturday 8/29/26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</si>
  <si>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</si>
  <si>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</si>
  <si>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</si>
  <si>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</si>
  <si>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</si>
  <si>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</si>
  <si>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</si>
  <si>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Calvin A.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</si>
  <si>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</si>
  <si>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</si>
  <si>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</si>
  <si>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</si>
  <si>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</si>
  <si>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</si>
  <si>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</si>
  <si>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</si>
  <si>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</si>
  <si>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</si>
  <si>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</si>
  <si>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</si>
  <si>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</si>
  <si>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</si>
  <si>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</si>
  <si>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/photos/luck-casino.avif</t>
  </si>
  <si>
    <t>No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</si>
  <si>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</si>
  <si>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</si>
  <si>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</si>
  <si>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</si>
  <si>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</si>
  <si>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</si>
  <si>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</si>
  <si>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</si>
  <si>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</si>
  <si>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</si>
  <si>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</si>
  <si>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</si>
  <si>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</si>
  <si>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BLIND SCHEDULES</t>
  </si>
  <si>
    <t>Add one row per level, using the exact Tournament ID from the Tournaments sheet.</t>
  </si>
  <si>
    <t>Duration can be minutes or short text. Leave both blind amounts blank for a break; decimal levels such as 4.5 are allowed.</t>
  </si>
  <si>
    <t>Level</t>
  </si>
  <si>
    <t>Duration</t>
  </si>
  <si>
    <t>Small Blind</t>
  </si>
  <si>
    <t>Big Blind</t>
  </si>
  <si>
    <t>Break</t>
  </si>
  <si>
    <t>Save the Date: October 10th High-Stakes Tournament</t>
  </si>
  <si>
    <t>cash-game-2026-09-02</t>
  </si>
  <si>
    <t>Wednesday 9/2/26</t>
  </si>
  <si>
    <t>Reid H.</t>
  </si>
  <si>
    <t>cash-game-2026-09-10</t>
  </si>
  <si>
    <t>Thursday 9/10/26</t>
  </si>
  <si>
    <t>cash-game-2026-09-12</t>
  </si>
  <si>
    <t>cash-game-2026-09-16</t>
  </si>
  <si>
    <t>Saturday 9/12/26</t>
  </si>
  <si>
    <t>Wednesday 9/16/26</t>
  </si>
  <si>
    <t>cash-game-2026-09-19</t>
  </si>
  <si>
    <t>Saturday 9/19/26</t>
  </si>
  <si>
    <t>cash-game-2026-09-23</t>
  </si>
  <si>
    <t>Wednesday 9/23/26</t>
  </si>
  <si>
    <t>Wyatt T.</t>
  </si>
  <si>
    <t>cash-game-2026-09-26</t>
  </si>
  <si>
    <t>Saturday 9/26/26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</si>
</sst>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m/d/yy;@"/>
    <numFmt numFmtId="166" formatCode="\$#,##0.00"/>
  </numFmts>
  <fonts count="16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  <font>
      <b/>
      <sz val="16"/>
      <color rgb="FFFFFFFF"/>
      <name val="Carlito"/>
    </font>
    <font>
      <i/>
      <sz val="11"/>
      <color rgb="FF243C34"/>
      <name val="Carlito"/>
    </font>
    <font>
      <sz val="10"/>
      <color rgb="FF66766F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143F35"/>
      </patternFill>
    </fill>
    <fill>
      <patternFill patternType="solid">
        <fgColor rgb="FFDEEBE4"/>
      </patternFill>
    </fill>
    <fill>
      <patternFill patternType="solid">
        <fgColor rgb="FFF2F5F3"/>
      </patternFill>
    </fill>
  </fills>
  <borders count="15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69C977"/>
      </left>
      <right style="thin">
        <color rgb="FF69C977"/>
      </right>
      <top style="thin">
        <color rgb="FF69C977"/>
      </top>
      <bottom style="thin">
        <color rgb="FF69C977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0" fillId="0" borderId="14" xfId="0" applyBorder="1"/>
    <xf numFmtId="166" fontId="0" fillId="0" borderId="14" xfId="0" applyNumberFormat="1" applyBorder="1"/>
    <xf numFmtId="0" fontId="8" fillId="2" borderId="0" xfId="0" applyFont="1" applyFill="1" applyAlignment="1">
      <alignment vertical="center"/>
    </xf>
    <xf numFmtId="0" fontId="10" fillId="3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9" fillId="0" borderId="0" xfId="0" applyFont="1"/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13" fillId="15" borderId="0" xfId="0" applyFont="1" applyFill="1"/>
    <xf numFmtId="0" fontId="14" fillId="16" borderId="0" xfId="0" applyFont="1" applyFill="1" applyAlignment="1">
      <alignment wrapText="1"/>
    </xf>
    <xf numFmtId="0" fontId="15" fillId="17" borderId="0" xfId="0" applyFont="1" applyFill="1" applyAlignment="1">
      <alignment wrapText="1"/>
    </xf>
  </cellXfs>
  <cellStyles count="1">
    <cellStyle name="Normal" xfId="0" builtinId="0"/>
  </cellStyles>
  <dxfs count="29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 style="thin">
          <color rgb="FFE3EAE6"/>
        </right>
        <top/>
        <bottom/>
        <vertical/>
        <horizontal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7" totalsRowShown="0" dataDxfId="23">
  <tableColumns count="9">
    <tableColumn id="1" xr3:uid="{00000000-0010-0000-0100-000001000000}" name="Tournament ID" dataDxfId="22"/>
    <tableColumn id="2" xr3:uid="{00000000-0010-0000-0100-000002000000}" name="Player" dataDxfId="21"/>
    <tableColumn id="3" xr3:uid="{00000000-0010-0000-0100-000003000000}" name="Total Buy-In" dataDxfId="20"/>
    <tableColumn id="4" xr3:uid="{00000000-0010-0000-0100-000004000000}" name="Placement" dataDxfId="19"/>
    <tableColumn id="5" xr3:uid="{00000000-0010-0000-0100-000005000000}" name="Placement Payout" dataDxfId="18"/>
    <tableColumn id="6" xr3:uid="{00000000-0010-0000-0100-000006000000}" name="Bonus Payout" dataDxfId="17"/>
    <tableColumn id="7" xr3:uid="{00000000-0010-0000-0100-000007000000}" name="Elimination Level" dataDxfId="16"/>
    <tableColumn id="9" xr3:uid="{00000000-0010-0000-0100-000009000000}" name="Eliminated At" dataDxfId="15"/>
    <tableColumn id="10" xr3:uid="{00000000-0010-0000-0100-00000A000000}" name="Eliminated By" dataDxfId="14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23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162" totalsRowShown="0" dataDxfId="28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27"/>
    <tableColumn id="2" xr3:uid="{00000000-0010-0000-0300-000002000000}" name="Player" dataDxfId="26"/>
    <tableColumn id="3" xr3:uid="{00000000-0010-0000-0300-000003000000}" name="Amount Buy-In" dataDxfId="25"/>
    <tableColumn id="4" xr3:uid="{00000000-0010-0000-0300-000004000000}" name="Amount At End" dataDxfId="2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3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2">
  <autoFilter ref="A4:G7" xr:uid="{00000000-0009-0000-0100-000008000000}"/>
  <tableColumns count="7">
    <tableColumn id="1" xr3:uid="{00000000-0010-0000-0500-000001000000}" name="Announcement ID" dataDxfId="11"/>
    <tableColumn id="2" xr3:uid="{00000000-0010-0000-0500-000002000000}" name="Date" dataDxfId="10"/>
    <tableColumn id="3" xr3:uid="{00000000-0010-0000-0500-000003000000}" name="Title" dataDxfId="9"/>
    <tableColumn id="4" xr3:uid="{00000000-0010-0000-0500-000004000000}" name="Body" dataDxfId="8"/>
    <tableColumn id="5" xr3:uid="{00000000-0010-0000-0500-000005000000}" name="Event ID" dataDxfId="7"/>
    <tableColumn id="6" xr3:uid="{00000000-0010-0000-0500-000006000000}" name="Expires" dataDxfId="6"/>
    <tableColumn id="7" xr3:uid="{00000000-0010-0000-0500-000007000000}" name="Pinned" dataDxfId="5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BlindSchedulesTable" displayName="BlindSchedulesTable" ref="A4:E38" totalsRowShown="0">
  <tableColumns count="5">
    <tableColumn id="1" xr3:uid="{00000000-0010-0000-0600-000001000000}" name="Tournament ID" dataDxfId="4"/>
    <tableColumn id="2" xr3:uid="{00000000-0010-0000-0600-000002000000}" name="Level"/>
    <tableColumn id="3" xr3:uid="{00000000-0010-0000-0600-000003000000}" name="Duration"/>
    <tableColumn id="4" xr3:uid="{00000000-0010-0000-0600-000004000000}" name="Small Blind"/>
    <tableColumn id="5" xr3:uid="{00000000-0010-0000-0600-000005000000}" name="Big Blin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1" t="s">
        <v>0</v>
      </c>
      <c r="B1" s="71" t="s">
        <v>0</v>
      </c>
      <c r="C1" s="71" t="s">
        <v>0</v>
      </c>
      <c r="D1" s="71" t="s">
        <v>0</v>
      </c>
      <c r="E1" s="71" t="s">
        <v>0</v>
      </c>
      <c r="F1" s="71" t="s">
        <v>0</v>
      </c>
      <c r="G1" s="71" t="s">
        <v>0</v>
      </c>
      <c r="H1" s="71" t="s">
        <v>0</v>
      </c>
    </row>
    <row r="2" spans="1:8" ht="28" customHeight="1">
      <c r="A2" s="71" t="s">
        <v>0</v>
      </c>
      <c r="B2" s="71" t="s">
        <v>0</v>
      </c>
      <c r="C2" s="71" t="s">
        <v>0</v>
      </c>
      <c r="D2" s="71" t="s">
        <v>0</v>
      </c>
      <c r="E2" s="71" t="s">
        <v>0</v>
      </c>
      <c r="F2" s="71" t="s">
        <v>0</v>
      </c>
      <c r="G2" s="71" t="s">
        <v>0</v>
      </c>
      <c r="H2" s="71" t="s">
        <v>0</v>
      </c>
    </row>
    <row r="3" spans="1:8" ht="24" customHeight="1">
      <c r="A3" s="72" t="s">
        <v>1</v>
      </c>
      <c r="B3" s="72" t="s">
        <v>1</v>
      </c>
      <c r="C3" s="72" t="s">
        <v>1</v>
      </c>
      <c r="D3" s="72" t="s">
        <v>1</v>
      </c>
      <c r="E3" s="72" t="s">
        <v>1</v>
      </c>
      <c r="F3" s="72" t="s">
        <v>1</v>
      </c>
      <c r="G3" s="72" t="s">
        <v>1</v>
      </c>
      <c r="H3" s="72" t="s">
        <v>1</v>
      </c>
    </row>
    <row r="5" spans="1:8" ht="25" customHeight="1">
      <c r="A5" s="73" t="s">
        <v>2</v>
      </c>
      <c r="B5" s="73" t="s">
        <v>2</v>
      </c>
      <c r="C5" s="73" t="s">
        <v>2</v>
      </c>
      <c r="D5" s="73" t="s">
        <v>2</v>
      </c>
      <c r="E5" s="73" t="s">
        <v>2</v>
      </c>
      <c r="F5" s="73" t="s">
        <v>3</v>
      </c>
      <c r="G5" s="73" t="s">
        <v>3</v>
      </c>
      <c r="H5" s="73" t="s">
        <v>3</v>
      </c>
    </row>
    <row r="6" spans="1:8" ht="30" customHeight="1">
      <c r="A6" s="39">
        <v>1</v>
      </c>
      <c r="B6" s="74" t="s">
        <v>4</v>
      </c>
      <c r="C6" s="74" t="s">
        <v>4</v>
      </c>
      <c r="D6" s="74" t="s">
        <v>4</v>
      </c>
      <c r="E6" s="74" t="s">
        <v>4</v>
      </c>
      <c r="F6" s="75" t="s">
        <v>5</v>
      </c>
      <c r="G6" s="75" t="s">
        <v>5</v>
      </c>
      <c r="H6" s="40">
        <f>COUNTA(Tournaments!A5:A500)</f>
        <v>4</v>
      </c>
    </row>
    <row r="7" spans="1:8" ht="30" customHeight="1">
      <c r="A7" s="39">
        <v>2</v>
      </c>
      <c r="B7" s="76" t="s">
        <v>6</v>
      </c>
      <c r="C7" s="76" t="s">
        <v>7</v>
      </c>
      <c r="D7" s="76" t="s">
        <v>7</v>
      </c>
      <c r="E7" s="76" t="s">
        <v>7</v>
      </c>
      <c r="F7" s="77" t="s">
        <v>8</v>
      </c>
      <c r="G7" s="77" t="s">
        <v>8</v>
      </c>
      <c r="H7" s="41">
        <f>COUNTIF(Tournaments!F5:F500,"upcoming")</f>
        <v>1</v>
      </c>
    </row>
    <row r="8" spans="1:8" ht="30" customHeight="1">
      <c r="A8" s="39">
        <v>3</v>
      </c>
      <c r="B8" s="74" t="s">
        <v>9</v>
      </c>
      <c r="C8" s="74" t="s">
        <v>9</v>
      </c>
      <c r="D8" s="74" t="s">
        <v>9</v>
      </c>
      <c r="E8" s="74" t="s">
        <v>9</v>
      </c>
      <c r="F8" s="75" t="s">
        <v>10</v>
      </c>
      <c r="G8" s="75" t="s">
        <v>10</v>
      </c>
      <c r="H8" s="40">
        <f>COUNTA('Cash Games'!A5:A500)</f>
        <v>19</v>
      </c>
    </row>
    <row r="9" spans="1:8" ht="30" customHeight="1">
      <c r="A9" s="39">
        <v>4</v>
      </c>
      <c r="B9" s="76" t="s">
        <v>11</v>
      </c>
      <c r="C9" s="76" t="s">
        <v>11</v>
      </c>
      <c r="D9" s="76" t="s">
        <v>11</v>
      </c>
      <c r="E9" s="76" t="s">
        <v>11</v>
      </c>
      <c r="F9" s="77" t="s">
        <v>12</v>
      </c>
      <c r="G9" s="77" t="s">
        <v>12</v>
      </c>
      <c r="H9" s="41">
        <f>COUNTA('Event Photos'!A5:A500)</f>
        <v>4</v>
      </c>
    </row>
    <row r="10" spans="1:8" ht="30" customHeight="1">
      <c r="A10" s="39">
        <v>5</v>
      </c>
      <c r="B10" s="74" t="s">
        <v>13</v>
      </c>
      <c r="C10" s="74" t="s">
        <v>13</v>
      </c>
      <c r="D10" s="74" t="s">
        <v>13</v>
      </c>
      <c r="E10" s="74" t="s">
        <v>13</v>
      </c>
      <c r="F10" s="75" t="s">
        <v>14</v>
      </c>
      <c r="G10" s="75" t="s">
        <v>14</v>
      </c>
      <c r="H10" s="40">
        <f>COUNTA(Announcements!A5:A500)</f>
        <v>3</v>
      </c>
    </row>
    <row r="11" spans="1:8" ht="30" customHeight="1">
      <c r="A11" s="39">
        <v>6</v>
      </c>
      <c r="B11" s="76" t="s">
        <v>15</v>
      </c>
      <c r="C11" s="76" t="s">
        <v>15</v>
      </c>
      <c r="D11" s="76" t="s">
        <v>15</v>
      </c>
      <c r="E11" s="76" t="s">
        <v>15</v>
      </c>
      <c r="F11" s="77" t="s">
        <v>16</v>
      </c>
      <c r="G11" s="77" t="s">
        <v>16</v>
      </c>
      <c r="H11" s="41">
        <f>COUNTA('Tournament Results'!A5:A511)+COUNTA('Cash Game Results'!A5:A499)</f>
        <v>211</v>
      </c>
    </row>
    <row r="13" spans="1:8" ht="28" customHeight="1"/>
    <row r="14" spans="1:8" ht="28" customHeight="1">
      <c r="A14" s="78" t="s">
        <v>17</v>
      </c>
      <c r="B14" s="78" t="s">
        <v>17</v>
      </c>
      <c r="C14" s="78" t="s">
        <v>17</v>
      </c>
      <c r="D14" s="78" t="s">
        <v>17</v>
      </c>
      <c r="E14" s="78" t="s">
        <v>17</v>
      </c>
      <c r="F14" s="78" t="s">
        <v>17</v>
      </c>
      <c r="G14" s="78" t="s">
        <v>17</v>
      </c>
      <c r="H14" s="78" t="s">
        <v>17</v>
      </c>
    </row>
    <row r="15" spans="1:8" ht="24" customHeight="1">
      <c r="A15" s="74" t="s">
        <v>18</v>
      </c>
      <c r="B15" s="74" t="s">
        <v>18</v>
      </c>
      <c r="C15" s="74" t="s">
        <v>18</v>
      </c>
      <c r="D15" s="74" t="s">
        <v>18</v>
      </c>
      <c r="E15" s="74" t="s">
        <v>18</v>
      </c>
      <c r="F15" s="74" t="s">
        <v>18</v>
      </c>
      <c r="G15" s="74" t="s">
        <v>18</v>
      </c>
      <c r="H15" s="74" t="s">
        <v>18</v>
      </c>
    </row>
    <row r="16" spans="1:8" ht="24" customHeight="1">
      <c r="A16" s="76" t="s">
        <v>19</v>
      </c>
      <c r="B16" s="76" t="s">
        <v>19</v>
      </c>
      <c r="C16" s="76" t="s">
        <v>19</v>
      </c>
      <c r="D16" s="76" t="s">
        <v>19</v>
      </c>
      <c r="E16" s="76" t="s">
        <v>19</v>
      </c>
      <c r="F16" s="76" t="s">
        <v>19</v>
      </c>
      <c r="G16" s="76" t="s">
        <v>19</v>
      </c>
      <c r="H16" s="76" t="s">
        <v>19</v>
      </c>
    </row>
    <row r="17" spans="1:8" ht="24" customHeight="1">
      <c r="A17" s="74" t="s">
        <v>20</v>
      </c>
      <c r="B17" s="74" t="s">
        <v>20</v>
      </c>
      <c r="C17" s="74" t="s">
        <v>20</v>
      </c>
      <c r="D17" s="74" t="s">
        <v>20</v>
      </c>
      <c r="E17" s="74" t="s">
        <v>20</v>
      </c>
      <c r="F17" s="74" t="s">
        <v>20</v>
      </c>
      <c r="G17" s="74" t="s">
        <v>20</v>
      </c>
      <c r="H17" s="74" t="s">
        <v>20</v>
      </c>
    </row>
    <row r="18" spans="1:8" ht="24" customHeight="1">
      <c r="A18" s="76" t="s">
        <v>21</v>
      </c>
      <c r="B18" s="76" t="s">
        <v>21</v>
      </c>
      <c r="C18" s="76" t="s">
        <v>21</v>
      </c>
      <c r="D18" s="76" t="s">
        <v>21</v>
      </c>
      <c r="E18" s="76" t="s">
        <v>21</v>
      </c>
      <c r="F18" s="76" t="s">
        <v>21</v>
      </c>
      <c r="G18" s="76" t="s">
        <v>21</v>
      </c>
      <c r="H18" s="76" t="s">
        <v>21</v>
      </c>
    </row>
    <row r="19" spans="1:8" ht="24" customHeight="1">
      <c r="A19" s="74" t="s">
        <v>22</v>
      </c>
      <c r="B19" s="74" t="s">
        <v>22</v>
      </c>
      <c r="C19" s="74" t="s">
        <v>22</v>
      </c>
      <c r="D19" s="74" t="s">
        <v>22</v>
      </c>
      <c r="E19" s="74" t="s">
        <v>22</v>
      </c>
      <c r="F19" s="74" t="s">
        <v>22</v>
      </c>
      <c r="G19" s="74" t="s">
        <v>22</v>
      </c>
      <c r="H19" s="74" t="s">
        <v>22</v>
      </c>
    </row>
    <row r="20" spans="1:8" ht="24" customHeight="1">
      <c r="A20" s="76" t="s">
        <v>23</v>
      </c>
      <c r="B20" s="76" t="s">
        <v>23</v>
      </c>
      <c r="C20" s="76" t="s">
        <v>23</v>
      </c>
      <c r="D20" s="76" t="s">
        <v>23</v>
      </c>
      <c r="E20" s="76" t="s">
        <v>23</v>
      </c>
      <c r="F20" s="76" t="s">
        <v>23</v>
      </c>
      <c r="G20" s="76" t="s">
        <v>23</v>
      </c>
      <c r="H20" s="76" t="s">
        <v>23</v>
      </c>
    </row>
  </sheetData>
  <mergeCells count="23">
    <mergeCell ref="A20:H20"/>
    <mergeCell ref="A15:H15"/>
    <mergeCell ref="A16:H16"/>
    <mergeCell ref="A17:H17"/>
    <mergeCell ref="A18:H18"/>
    <mergeCell ref="A19:H19"/>
    <mergeCell ref="B10:E10"/>
    <mergeCell ref="F10:G10"/>
    <mergeCell ref="B11:E11"/>
    <mergeCell ref="F11:G11"/>
    <mergeCell ref="A14:H14"/>
    <mergeCell ref="B7:E7"/>
    <mergeCell ref="F7:G7"/>
    <mergeCell ref="B8:E8"/>
    <mergeCell ref="F8:G8"/>
    <mergeCell ref="B9:E9"/>
    <mergeCell ref="F9:G9"/>
    <mergeCell ref="A1:H2"/>
    <mergeCell ref="A3:H3"/>
    <mergeCell ref="A5:E5"/>
    <mergeCell ref="F5:H5"/>
    <mergeCell ref="B6:E6"/>
    <mergeCell ref="F6:G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A8" sqref="A8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79" t="s">
        <v>24</v>
      </c>
      <c r="B1" s="79" t="s">
        <v>24</v>
      </c>
      <c r="C1" s="79" t="s">
        <v>24</v>
      </c>
      <c r="D1" s="79" t="s">
        <v>24</v>
      </c>
      <c r="E1" s="79" t="s">
        <v>24</v>
      </c>
      <c r="F1" s="79" t="s">
        <v>24</v>
      </c>
      <c r="G1" s="79" t="s">
        <v>24</v>
      </c>
      <c r="H1" s="79" t="s">
        <v>24</v>
      </c>
      <c r="I1" s="79" t="s">
        <v>24</v>
      </c>
    </row>
    <row r="2" spans="1:9" ht="24" customHeight="1">
      <c r="A2" s="80" t="s">
        <v>25</v>
      </c>
      <c r="B2" s="80" t="s">
        <v>25</v>
      </c>
      <c r="C2" s="80" t="s">
        <v>25</v>
      </c>
      <c r="D2" s="80" t="s">
        <v>25</v>
      </c>
      <c r="E2" s="80" t="s">
        <v>25</v>
      </c>
      <c r="F2" s="80" t="s">
        <v>25</v>
      </c>
      <c r="G2" s="80" t="s">
        <v>25</v>
      </c>
      <c r="H2" s="80" t="s">
        <v>25</v>
      </c>
      <c r="I2" s="80" t="s">
        <v>25</v>
      </c>
    </row>
    <row r="3" spans="1:9" ht="24" customHeight="1">
      <c r="A3" s="81" t="s">
        <v>26</v>
      </c>
      <c r="B3" s="81" t="s">
        <v>26</v>
      </c>
      <c r="C3" s="81" t="s">
        <v>26</v>
      </c>
      <c r="D3" s="81" t="s">
        <v>26</v>
      </c>
      <c r="E3" s="81" t="s">
        <v>26</v>
      </c>
      <c r="F3" s="81" t="s">
        <v>26</v>
      </c>
      <c r="G3" s="81" t="s">
        <v>26</v>
      </c>
      <c r="H3" s="81" t="s">
        <v>26</v>
      </c>
      <c r="I3" s="81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5"/>
      <c r="H5" s="61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5"/>
      <c r="H6" s="62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5">
        <v>0.77083333333333337</v>
      </c>
      <c r="H7" s="63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47</v>
      </c>
      <c r="G8" s="65">
        <v>0.77083333333333337</v>
      </c>
      <c r="H8" s="63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7"/>
  <sheetViews>
    <sheetView showGridLines="0" topLeftCell="A41" workbookViewId="0">
      <selection activeCell="C49" sqref="C49:C57"/>
    </sheetView>
  </sheetViews>
  <sheetFormatPr baseColWidth="10" defaultColWidth="8.83203125" defaultRowHeight="16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7" customHeight="1">
      <c r="A1" s="68" t="s">
        <v>48</v>
      </c>
      <c r="B1" s="68"/>
      <c r="C1" s="68"/>
      <c r="D1" s="68"/>
      <c r="E1" s="68"/>
      <c r="F1" s="68"/>
      <c r="G1" s="68"/>
      <c r="H1" s="82"/>
      <c r="I1" s="82"/>
    </row>
    <row r="2" spans="1:9" ht="27" customHeight="1">
      <c r="A2" s="69" t="s">
        <v>49</v>
      </c>
      <c r="B2" s="69"/>
      <c r="C2" s="69"/>
      <c r="D2" s="69"/>
      <c r="E2" s="69"/>
      <c r="F2" s="69"/>
      <c r="G2" s="69"/>
      <c r="H2" s="83"/>
      <c r="I2" s="83"/>
    </row>
    <row r="3" spans="1:9" ht="27" customHeight="1">
      <c r="A3" s="84" t="s">
        <v>50</v>
      </c>
      <c r="B3" s="84"/>
      <c r="C3" s="84"/>
      <c r="D3" s="84"/>
      <c r="E3" s="84"/>
      <c r="F3" s="84"/>
      <c r="G3" s="84"/>
      <c r="H3" s="83"/>
      <c r="I3" s="83"/>
    </row>
    <row r="4" spans="1:9" ht="27" customHeight="1">
      <c r="A4" s="2" t="s">
        <v>27</v>
      </c>
      <c r="B4" s="3" t="s">
        <v>51</v>
      </c>
      <c r="C4" s="4" t="s">
        <v>52</v>
      </c>
      <c r="D4" s="15" t="s">
        <v>53</v>
      </c>
      <c r="E4" s="42" t="s">
        <v>54</v>
      </c>
      <c r="F4" s="43" t="s">
        <v>55</v>
      </c>
      <c r="G4" s="43" t="s">
        <v>56</v>
      </c>
      <c r="H4" s="42" t="s">
        <v>57</v>
      </c>
      <c r="I4" s="42" t="s">
        <v>58</v>
      </c>
    </row>
    <row r="5" spans="1:9" ht="27" customHeight="1">
      <c r="A5" s="6" t="s">
        <v>40</v>
      </c>
      <c r="B5" s="17" t="s">
        <v>59</v>
      </c>
      <c r="C5" s="20">
        <v>40</v>
      </c>
      <c r="D5" s="23" t="s">
        <v>60</v>
      </c>
      <c r="E5" s="44">
        <v>100</v>
      </c>
      <c r="F5" s="44">
        <v>0</v>
      </c>
      <c r="G5" s="47"/>
      <c r="H5" s="50"/>
      <c r="I5" s="51"/>
    </row>
    <row r="6" spans="1:9" ht="27" customHeight="1">
      <c r="A6" s="6" t="s">
        <v>40</v>
      </c>
      <c r="B6" s="19" t="s">
        <v>61</v>
      </c>
      <c r="C6" s="22">
        <v>20</v>
      </c>
      <c r="D6" s="25" t="s">
        <v>60</v>
      </c>
      <c r="E6" s="45">
        <v>100</v>
      </c>
      <c r="F6" s="45">
        <v>0</v>
      </c>
      <c r="G6" s="48"/>
      <c r="H6" s="52"/>
      <c r="I6" s="53"/>
    </row>
    <row r="7" spans="1:9" ht="27" customHeight="1">
      <c r="A7" s="6" t="s">
        <v>40</v>
      </c>
      <c r="B7" s="1" t="s">
        <v>62</v>
      </c>
      <c r="C7" s="14">
        <v>40</v>
      </c>
      <c r="D7" s="16" t="s">
        <v>60</v>
      </c>
      <c r="E7" s="46">
        <v>100</v>
      </c>
      <c r="F7" s="46">
        <v>0</v>
      </c>
      <c r="G7" s="49"/>
      <c r="H7" s="54"/>
      <c r="I7" s="55"/>
    </row>
    <row r="8" spans="1:9" ht="27" customHeight="1">
      <c r="A8" s="6" t="s">
        <v>40</v>
      </c>
      <c r="B8" s="1" t="s">
        <v>46</v>
      </c>
      <c r="C8" s="14">
        <v>20</v>
      </c>
      <c r="D8" s="16" t="s">
        <v>60</v>
      </c>
      <c r="E8" s="45">
        <v>100</v>
      </c>
      <c r="F8" s="45">
        <v>0</v>
      </c>
      <c r="G8" s="48"/>
      <c r="H8" s="52"/>
      <c r="I8" s="53"/>
    </row>
    <row r="9" spans="1:9" ht="27" customHeight="1">
      <c r="A9" s="6" t="s">
        <v>40</v>
      </c>
      <c r="B9" s="1" t="s">
        <v>63</v>
      </c>
      <c r="C9" s="14">
        <v>20</v>
      </c>
      <c r="D9" s="16">
        <v>5</v>
      </c>
      <c r="E9" s="46">
        <v>0</v>
      </c>
      <c r="F9" s="46">
        <v>0</v>
      </c>
      <c r="G9" s="49"/>
      <c r="H9" s="54"/>
      <c r="I9" s="55"/>
    </row>
    <row r="10" spans="1:9" ht="27" customHeight="1">
      <c r="A10" s="6" t="s">
        <v>40</v>
      </c>
      <c r="B10" s="1" t="s">
        <v>64</v>
      </c>
      <c r="C10" s="14">
        <v>20</v>
      </c>
      <c r="D10" s="16">
        <v>6</v>
      </c>
      <c r="E10" s="45">
        <v>0</v>
      </c>
      <c r="F10" s="45">
        <v>0</v>
      </c>
      <c r="G10" s="48"/>
      <c r="H10" s="52"/>
      <c r="I10" s="53"/>
    </row>
    <row r="11" spans="1:9" ht="27" customHeight="1">
      <c r="A11" s="6" t="s">
        <v>40</v>
      </c>
      <c r="B11" s="1" t="s">
        <v>65</v>
      </c>
      <c r="C11" s="14">
        <v>20</v>
      </c>
      <c r="D11" s="16">
        <v>7</v>
      </c>
      <c r="E11" s="46">
        <v>0</v>
      </c>
      <c r="F11" s="46">
        <v>0</v>
      </c>
      <c r="G11" s="49"/>
      <c r="H11" s="54"/>
      <c r="I11" s="55"/>
    </row>
    <row r="12" spans="1:9" ht="27" customHeight="1">
      <c r="A12" s="6" t="s">
        <v>40</v>
      </c>
      <c r="B12" s="1" t="s">
        <v>66</v>
      </c>
      <c r="C12" s="14">
        <v>40</v>
      </c>
      <c r="D12" s="16">
        <v>8</v>
      </c>
      <c r="E12" s="45">
        <v>0</v>
      </c>
      <c r="F12" s="45">
        <v>0</v>
      </c>
      <c r="G12" s="48"/>
      <c r="H12" s="52"/>
      <c r="I12" s="53"/>
    </row>
    <row r="13" spans="1:9" ht="27" customHeight="1">
      <c r="A13" s="6" t="s">
        <v>40</v>
      </c>
      <c r="B13" s="1" t="s">
        <v>67</v>
      </c>
      <c r="C13" s="14">
        <v>20</v>
      </c>
      <c r="D13" s="16">
        <v>9</v>
      </c>
      <c r="E13" s="46">
        <v>0</v>
      </c>
      <c r="F13" s="46">
        <v>0</v>
      </c>
      <c r="G13" s="49"/>
      <c r="H13" s="54"/>
      <c r="I13" s="55"/>
    </row>
    <row r="14" spans="1:9" ht="27" customHeight="1">
      <c r="A14" s="6" t="s">
        <v>40</v>
      </c>
      <c r="B14" s="1" t="s">
        <v>68</v>
      </c>
      <c r="C14" s="14">
        <v>20</v>
      </c>
      <c r="D14" s="16">
        <v>10</v>
      </c>
      <c r="E14" s="45">
        <v>0</v>
      </c>
      <c r="F14" s="45">
        <v>0</v>
      </c>
      <c r="G14" s="48"/>
      <c r="H14" s="52"/>
      <c r="I14" s="53"/>
    </row>
    <row r="15" spans="1:9" ht="27" customHeight="1">
      <c r="A15" s="6" t="s">
        <v>40</v>
      </c>
      <c r="B15" s="1" t="s">
        <v>69</v>
      </c>
      <c r="C15" s="14">
        <v>20</v>
      </c>
      <c r="D15" s="16">
        <v>11</v>
      </c>
      <c r="E15" s="46">
        <v>0</v>
      </c>
      <c r="F15" s="46">
        <v>0</v>
      </c>
      <c r="G15" s="49"/>
      <c r="H15" s="54"/>
      <c r="I15" s="55"/>
    </row>
    <row r="16" spans="1:9" ht="27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49"/>
      <c r="H16" s="54"/>
      <c r="I16" s="55"/>
    </row>
    <row r="17" spans="1:9" ht="27" customHeight="1">
      <c r="A17" s="6" t="s">
        <v>40</v>
      </c>
      <c r="B17" s="1" t="s">
        <v>70</v>
      </c>
      <c r="C17" s="14">
        <v>20</v>
      </c>
      <c r="D17" s="16">
        <v>13</v>
      </c>
      <c r="E17" s="45">
        <v>0</v>
      </c>
      <c r="F17" s="45">
        <v>0</v>
      </c>
      <c r="G17" s="48"/>
      <c r="H17" s="52"/>
      <c r="I17" s="53"/>
    </row>
    <row r="18" spans="1:9" ht="27" customHeight="1">
      <c r="A18" s="13" t="s">
        <v>40</v>
      </c>
      <c r="B18" s="1" t="s">
        <v>71</v>
      </c>
      <c r="C18" s="14">
        <v>20</v>
      </c>
      <c r="D18" s="16">
        <v>14</v>
      </c>
      <c r="E18" s="46">
        <v>0</v>
      </c>
      <c r="F18" s="46">
        <v>0</v>
      </c>
      <c r="G18" s="49"/>
      <c r="H18" s="54"/>
      <c r="I18" s="55"/>
    </row>
    <row r="19" spans="1:9" ht="27" customHeight="1">
      <c r="A19" s="13" t="s">
        <v>40</v>
      </c>
      <c r="B19" s="1" t="s">
        <v>72</v>
      </c>
      <c r="C19" s="14">
        <v>20</v>
      </c>
      <c r="D19" s="16">
        <v>15</v>
      </c>
      <c r="E19" s="45">
        <v>0</v>
      </c>
      <c r="F19" s="45">
        <v>0</v>
      </c>
      <c r="G19" s="48"/>
      <c r="H19" s="52"/>
      <c r="I19" s="53"/>
    </row>
    <row r="20" spans="1:9" ht="27" customHeight="1">
      <c r="A20" s="13" t="s">
        <v>40</v>
      </c>
      <c r="B20" s="1" t="s">
        <v>73</v>
      </c>
      <c r="C20" s="14">
        <v>40</v>
      </c>
      <c r="D20" s="16">
        <v>16</v>
      </c>
      <c r="E20" s="46">
        <v>0</v>
      </c>
      <c r="F20" s="46">
        <v>0</v>
      </c>
      <c r="G20" s="49"/>
      <c r="H20" s="54"/>
      <c r="I20" s="55"/>
    </row>
    <row r="21" spans="1:9" ht="27" customHeight="1">
      <c r="A21" s="13" t="s">
        <v>36</v>
      </c>
      <c r="B21" s="18" t="s">
        <v>74</v>
      </c>
      <c r="C21" s="21">
        <v>60</v>
      </c>
      <c r="D21" s="24" t="s">
        <v>75</v>
      </c>
      <c r="E21" s="45">
        <v>195</v>
      </c>
      <c r="F21" s="45">
        <v>0</v>
      </c>
      <c r="G21" s="48"/>
      <c r="H21" s="52"/>
      <c r="I21" s="53"/>
    </row>
    <row r="22" spans="1:9" ht="27" customHeight="1">
      <c r="A22" s="13" t="s">
        <v>36</v>
      </c>
      <c r="B22" s="18" t="s">
        <v>76</v>
      </c>
      <c r="C22" s="21">
        <v>20</v>
      </c>
      <c r="D22" s="24" t="s">
        <v>77</v>
      </c>
      <c r="E22" s="46">
        <v>87.75</v>
      </c>
      <c r="F22" s="46">
        <v>0</v>
      </c>
      <c r="G22" s="49"/>
      <c r="H22" s="54"/>
      <c r="I22" s="55"/>
    </row>
    <row r="23" spans="1:9" ht="27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48"/>
      <c r="H23" s="52"/>
      <c r="I23" s="53"/>
    </row>
    <row r="24" spans="1:9" ht="27" customHeight="1">
      <c r="A24" s="13" t="s">
        <v>36</v>
      </c>
      <c r="B24" s="1" t="s">
        <v>63</v>
      </c>
      <c r="C24" s="14">
        <v>20</v>
      </c>
      <c r="D24" s="16">
        <v>4</v>
      </c>
      <c r="E24" s="46">
        <v>48.75</v>
      </c>
      <c r="F24" s="46">
        <v>0</v>
      </c>
      <c r="G24" s="49"/>
      <c r="H24" s="54"/>
      <c r="I24" s="55"/>
    </row>
    <row r="25" spans="1:9" ht="27" customHeight="1">
      <c r="A25" s="13" t="s">
        <v>36</v>
      </c>
      <c r="B25" s="1" t="s">
        <v>64</v>
      </c>
      <c r="C25" s="14">
        <v>20</v>
      </c>
      <c r="D25" s="16">
        <v>5</v>
      </c>
      <c r="E25" s="45">
        <v>0</v>
      </c>
      <c r="F25" s="45">
        <v>0</v>
      </c>
      <c r="G25" s="48"/>
      <c r="H25" s="52"/>
      <c r="I25" s="53"/>
    </row>
    <row r="26" spans="1:9" ht="27" customHeight="1">
      <c r="A26" s="13" t="s">
        <v>36</v>
      </c>
      <c r="B26" s="1" t="s">
        <v>70</v>
      </c>
      <c r="C26" s="14">
        <v>20</v>
      </c>
      <c r="D26" s="16">
        <v>6</v>
      </c>
      <c r="E26" s="46">
        <v>0</v>
      </c>
      <c r="F26" s="46">
        <v>0</v>
      </c>
      <c r="G26" s="49"/>
      <c r="H26" s="54"/>
      <c r="I26" s="55"/>
    </row>
    <row r="27" spans="1:9" ht="27" customHeight="1">
      <c r="A27" s="13" t="s">
        <v>36</v>
      </c>
      <c r="B27" s="1" t="s">
        <v>65</v>
      </c>
      <c r="C27" s="14">
        <v>20</v>
      </c>
      <c r="D27" s="16">
        <v>7</v>
      </c>
      <c r="E27" s="45">
        <v>0</v>
      </c>
      <c r="F27" s="45">
        <v>0</v>
      </c>
      <c r="G27" s="48"/>
      <c r="H27" s="52"/>
      <c r="I27" s="53"/>
    </row>
    <row r="28" spans="1:9" ht="27" customHeight="1">
      <c r="A28" s="13" t="s">
        <v>36</v>
      </c>
      <c r="B28" s="1" t="s">
        <v>71</v>
      </c>
      <c r="C28" s="14">
        <v>20</v>
      </c>
      <c r="D28" s="16">
        <v>8</v>
      </c>
      <c r="E28" s="46">
        <v>0</v>
      </c>
      <c r="F28" s="46">
        <v>0</v>
      </c>
      <c r="G28" s="49"/>
      <c r="H28" s="54"/>
      <c r="I28" s="55"/>
    </row>
    <row r="29" spans="1:9" ht="27" customHeight="1">
      <c r="A29" s="13" t="s">
        <v>36</v>
      </c>
      <c r="B29" s="1" t="s">
        <v>68</v>
      </c>
      <c r="C29" s="14">
        <v>20</v>
      </c>
      <c r="D29" s="16">
        <v>9</v>
      </c>
      <c r="E29" s="45">
        <v>0</v>
      </c>
      <c r="F29" s="45">
        <v>0</v>
      </c>
      <c r="G29" s="48"/>
      <c r="H29" s="52"/>
      <c r="I29" s="53"/>
    </row>
    <row r="30" spans="1:9" ht="27" customHeight="1">
      <c r="A30" s="13" t="s">
        <v>36</v>
      </c>
      <c r="B30" s="1" t="s">
        <v>62</v>
      </c>
      <c r="C30" s="14">
        <v>30</v>
      </c>
      <c r="D30" s="16">
        <v>10</v>
      </c>
      <c r="E30" s="46">
        <v>0</v>
      </c>
      <c r="F30" s="46">
        <v>0</v>
      </c>
      <c r="G30" s="49"/>
      <c r="H30" s="54"/>
      <c r="I30" s="55"/>
    </row>
    <row r="31" spans="1:9" ht="27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48"/>
      <c r="H31" s="52"/>
      <c r="I31" s="53"/>
    </row>
    <row r="32" spans="1:9" ht="27" customHeight="1">
      <c r="A32" s="13" t="s">
        <v>36</v>
      </c>
      <c r="B32" s="1" t="s">
        <v>72</v>
      </c>
      <c r="C32" s="14">
        <v>40</v>
      </c>
      <c r="D32" s="16">
        <v>12</v>
      </c>
      <c r="E32" s="46">
        <v>0</v>
      </c>
      <c r="F32" s="46">
        <v>0</v>
      </c>
      <c r="G32" s="49"/>
      <c r="H32" s="54"/>
      <c r="I32" s="55"/>
    </row>
    <row r="33" spans="1:9" ht="27" customHeight="1">
      <c r="A33" s="13" t="s">
        <v>36</v>
      </c>
      <c r="B33" s="1" t="s">
        <v>78</v>
      </c>
      <c r="C33" s="14">
        <v>40</v>
      </c>
      <c r="D33" s="16">
        <v>13</v>
      </c>
      <c r="E33" s="45">
        <v>0</v>
      </c>
      <c r="F33" s="45">
        <v>0</v>
      </c>
      <c r="G33" s="48"/>
      <c r="H33" s="52"/>
      <c r="I33" s="53"/>
    </row>
    <row r="34" spans="1:9" ht="27" customHeight="1">
      <c r="A34" s="13" t="s">
        <v>36</v>
      </c>
      <c r="B34" s="1" t="s">
        <v>67</v>
      </c>
      <c r="C34" s="14">
        <v>40</v>
      </c>
      <c r="D34" s="16">
        <v>14</v>
      </c>
      <c r="E34" s="46">
        <v>0</v>
      </c>
      <c r="F34" s="46">
        <v>0</v>
      </c>
      <c r="G34" s="49"/>
      <c r="H34" s="54"/>
      <c r="I34" s="55"/>
    </row>
    <row r="35" spans="1:9" ht="27" customHeight="1">
      <c r="A35" s="13" t="s">
        <v>42</v>
      </c>
      <c r="B35" s="1" t="s">
        <v>79</v>
      </c>
      <c r="C35" s="14">
        <v>40</v>
      </c>
      <c r="D35" s="16">
        <v>14</v>
      </c>
      <c r="E35" s="46">
        <v>0</v>
      </c>
      <c r="F35" s="45">
        <v>0</v>
      </c>
      <c r="G35" s="48">
        <v>4</v>
      </c>
      <c r="H35" s="52">
        <v>0.84375</v>
      </c>
      <c r="I35" s="53" t="s">
        <v>70</v>
      </c>
    </row>
    <row r="36" spans="1:9" ht="27" customHeight="1">
      <c r="A36" s="13" t="s">
        <v>42</v>
      </c>
      <c r="B36" s="1" t="s">
        <v>72</v>
      </c>
      <c r="C36" s="14">
        <v>20</v>
      </c>
      <c r="D36" s="16">
        <v>13</v>
      </c>
      <c r="E36" s="46">
        <v>0</v>
      </c>
      <c r="F36" s="46">
        <v>0</v>
      </c>
      <c r="G36" s="49">
        <v>5</v>
      </c>
      <c r="H36" s="54">
        <v>0.85069444444444442</v>
      </c>
      <c r="I36" s="55" t="s">
        <v>74</v>
      </c>
    </row>
    <row r="37" spans="1:9" ht="27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48">
        <v>5</v>
      </c>
      <c r="H37" s="52">
        <v>0.85624999999999996</v>
      </c>
      <c r="I37" s="53" t="s">
        <v>69</v>
      </c>
    </row>
    <row r="38" spans="1:9" ht="27" customHeight="1">
      <c r="A38" s="13" t="s">
        <v>42</v>
      </c>
      <c r="B38" s="1" t="s">
        <v>64</v>
      </c>
      <c r="C38" s="14">
        <v>40</v>
      </c>
      <c r="D38" s="16">
        <v>11</v>
      </c>
      <c r="E38" s="46">
        <v>0</v>
      </c>
      <c r="F38" s="46">
        <v>0</v>
      </c>
      <c r="G38" s="49">
        <v>6</v>
      </c>
      <c r="H38" s="54">
        <v>0.87083333333333335</v>
      </c>
      <c r="I38" s="55" t="s">
        <v>61</v>
      </c>
    </row>
    <row r="39" spans="1:9" ht="27" customHeight="1">
      <c r="A39" s="13" t="s">
        <v>42</v>
      </c>
      <c r="B39" s="1" t="s">
        <v>63</v>
      </c>
      <c r="C39" s="14">
        <v>40</v>
      </c>
      <c r="D39" s="16">
        <v>10</v>
      </c>
      <c r="E39" s="46">
        <v>0</v>
      </c>
      <c r="F39" s="45">
        <v>0</v>
      </c>
      <c r="G39" s="48">
        <v>6</v>
      </c>
      <c r="H39" s="52">
        <v>0.87430555555555556</v>
      </c>
      <c r="I39" s="53" t="s">
        <v>66</v>
      </c>
    </row>
    <row r="40" spans="1:9" ht="27" customHeight="1">
      <c r="A40" s="13" t="s">
        <v>42</v>
      </c>
      <c r="B40" s="1" t="s">
        <v>74</v>
      </c>
      <c r="C40" s="14">
        <v>60</v>
      </c>
      <c r="D40" s="16">
        <v>9</v>
      </c>
      <c r="E40" s="46">
        <v>0</v>
      </c>
      <c r="F40" s="46">
        <v>0</v>
      </c>
      <c r="G40" s="49">
        <v>6</v>
      </c>
      <c r="H40" s="54">
        <v>0.87986111111111109</v>
      </c>
      <c r="I40" s="55" t="s">
        <v>70</v>
      </c>
    </row>
    <row r="41" spans="1:9" ht="27" customHeight="1">
      <c r="A41" s="13" t="s">
        <v>42</v>
      </c>
      <c r="B41" s="1" t="s">
        <v>67</v>
      </c>
      <c r="C41" s="14">
        <v>60</v>
      </c>
      <c r="D41" s="16">
        <v>8</v>
      </c>
      <c r="E41" s="46">
        <v>0</v>
      </c>
      <c r="F41" s="45">
        <v>0</v>
      </c>
      <c r="G41" s="48">
        <v>6</v>
      </c>
      <c r="H41" s="52">
        <v>0.88263888888888886</v>
      </c>
      <c r="I41" s="53" t="s">
        <v>65</v>
      </c>
    </row>
    <row r="42" spans="1:9" ht="27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49">
        <v>7</v>
      </c>
      <c r="H42" s="54">
        <v>0.89583333333333337</v>
      </c>
      <c r="I42" s="55" t="s">
        <v>69</v>
      </c>
    </row>
    <row r="43" spans="1:9" ht="27" customHeight="1">
      <c r="A43" s="13" t="s">
        <v>42</v>
      </c>
      <c r="B43" s="1" t="s">
        <v>70</v>
      </c>
      <c r="C43" s="14">
        <v>40</v>
      </c>
      <c r="D43" s="16">
        <v>6</v>
      </c>
      <c r="E43" s="46">
        <v>0</v>
      </c>
      <c r="F43" s="45">
        <v>0</v>
      </c>
      <c r="G43" s="48">
        <v>9</v>
      </c>
      <c r="H43" s="52">
        <v>0.92013888888888884</v>
      </c>
      <c r="I43" s="53" t="s">
        <v>66</v>
      </c>
    </row>
    <row r="44" spans="1:9" ht="27" customHeight="1">
      <c r="A44" s="13" t="s">
        <v>42</v>
      </c>
      <c r="B44" s="1" t="s">
        <v>71</v>
      </c>
      <c r="C44" s="14">
        <v>20</v>
      </c>
      <c r="D44" s="16">
        <v>5</v>
      </c>
      <c r="E44" s="46">
        <v>0</v>
      </c>
      <c r="F44" s="46">
        <v>0</v>
      </c>
      <c r="G44" s="49">
        <v>10</v>
      </c>
      <c r="H44" s="54">
        <v>0.93055555555555558</v>
      </c>
      <c r="I44" s="55" t="s">
        <v>61</v>
      </c>
    </row>
    <row r="45" spans="1:9" ht="27" customHeight="1">
      <c r="A45" s="13" t="s">
        <v>42</v>
      </c>
      <c r="B45" s="1" t="s">
        <v>65</v>
      </c>
      <c r="C45" s="14">
        <v>60</v>
      </c>
      <c r="D45" s="16">
        <v>4</v>
      </c>
      <c r="E45" s="45">
        <v>62.5</v>
      </c>
      <c r="F45" s="45">
        <v>0</v>
      </c>
      <c r="G45" s="48">
        <v>11</v>
      </c>
      <c r="H45" s="52">
        <v>0.95138888888888884</v>
      </c>
      <c r="I45" s="53" t="s">
        <v>69</v>
      </c>
    </row>
    <row r="46" spans="1:9" ht="27" customHeight="1">
      <c r="A46" s="13" t="s">
        <v>42</v>
      </c>
      <c r="B46" s="1" t="s">
        <v>61</v>
      </c>
      <c r="C46" s="14">
        <v>20</v>
      </c>
      <c r="D46" s="16">
        <v>3</v>
      </c>
      <c r="E46" s="46">
        <v>75</v>
      </c>
      <c r="F46" s="46">
        <v>0</v>
      </c>
      <c r="G46" s="49">
        <v>12</v>
      </c>
      <c r="H46" s="54">
        <v>0.95625000000000004</v>
      </c>
      <c r="I46" s="55" t="s">
        <v>69</v>
      </c>
    </row>
    <row r="47" spans="1:9" ht="27" customHeight="1">
      <c r="A47" s="13" t="s">
        <v>42</v>
      </c>
      <c r="B47" s="1" t="s">
        <v>66</v>
      </c>
      <c r="C47" s="14">
        <v>20</v>
      </c>
      <c r="D47" s="16">
        <v>2</v>
      </c>
      <c r="E47" s="45">
        <v>112.5</v>
      </c>
      <c r="F47" s="45">
        <v>0</v>
      </c>
      <c r="G47" s="48">
        <v>13</v>
      </c>
      <c r="H47" s="52">
        <v>0.96736111111111112</v>
      </c>
      <c r="I47" s="53" t="s">
        <v>69</v>
      </c>
    </row>
    <row r="48" spans="1:9" ht="27" customHeight="1">
      <c r="A48" s="13" t="s">
        <v>42</v>
      </c>
      <c r="B48" s="1" t="s">
        <v>69</v>
      </c>
      <c r="C48" s="14">
        <v>20</v>
      </c>
      <c r="D48" s="16">
        <v>1</v>
      </c>
      <c r="E48" s="46">
        <v>250</v>
      </c>
      <c r="F48" s="46">
        <v>0</v>
      </c>
      <c r="G48" s="49"/>
      <c r="H48" s="54"/>
      <c r="I48" s="55"/>
    </row>
    <row r="49" spans="1:3" ht="27" customHeight="1">
      <c r="A49" s="1" t="s">
        <v>44</v>
      </c>
      <c r="B49" s="1" t="s">
        <v>46</v>
      </c>
      <c r="C49" s="14">
        <v>50</v>
      </c>
    </row>
    <row r="50" spans="1:3" ht="27" customHeight="1">
      <c r="A50" s="1" t="s">
        <v>44</v>
      </c>
      <c r="B50" s="1" t="s">
        <v>70</v>
      </c>
      <c r="C50" s="14">
        <v>50</v>
      </c>
    </row>
    <row r="51" spans="1:3" ht="27" customHeight="1">
      <c r="A51" s="1" t="s">
        <v>44</v>
      </c>
      <c r="B51" s="1" t="s">
        <v>80</v>
      </c>
      <c r="C51" s="14">
        <v>50</v>
      </c>
    </row>
    <row r="52" spans="1:3" ht="27" customHeight="1">
      <c r="A52" s="1" t="s">
        <v>44</v>
      </c>
      <c r="B52" s="1" t="s">
        <v>72</v>
      </c>
      <c r="C52" s="14">
        <v>50</v>
      </c>
    </row>
    <row r="53" spans="1:3" ht="27" customHeight="1">
      <c r="A53" s="1" t="s">
        <v>44</v>
      </c>
      <c r="B53" s="1" t="s">
        <v>71</v>
      </c>
      <c r="C53" s="14">
        <v>50</v>
      </c>
    </row>
    <row r="54" spans="1:3" ht="27" customHeight="1">
      <c r="A54" s="1" t="s">
        <v>44</v>
      </c>
      <c r="B54" s="1" t="s">
        <v>74</v>
      </c>
      <c r="C54" s="14">
        <v>50</v>
      </c>
    </row>
    <row r="55" spans="1:3" ht="27" customHeight="1">
      <c r="A55" s="1" t="s">
        <v>44</v>
      </c>
      <c r="B55" s="1" t="s">
        <v>78</v>
      </c>
      <c r="C55" s="14">
        <v>50</v>
      </c>
    </row>
    <row r="56" spans="1:3" ht="27" customHeight="1">
      <c r="A56" s="1" t="s">
        <v>44</v>
      </c>
      <c r="B56" s="1" t="s">
        <v>38</v>
      </c>
      <c r="C56" s="14">
        <v>50</v>
      </c>
    </row>
    <row r="57" spans="1:3" ht="27" customHeight="1">
      <c r="A57" s="1" t="s">
        <v>44</v>
      </c>
      <c r="B57" s="1" t="s">
        <v>65</v>
      </c>
      <c r="C57" s="14">
        <v>50</v>
      </c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3"/>
  <sheetViews>
    <sheetView showGridLines="0" workbookViewId="0">
      <selection activeCell="B23" sqref="B23"/>
    </sheetView>
  </sheetViews>
  <sheetFormatPr baseColWidth="10" defaultColWidth="8.83203125" defaultRowHeight="19" customHeight="1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19" customHeight="1">
      <c r="A1" s="79" t="s">
        <v>81</v>
      </c>
      <c r="B1" s="79" t="s">
        <v>81</v>
      </c>
      <c r="C1" s="79" t="s">
        <v>81</v>
      </c>
      <c r="D1" s="79" t="s">
        <v>81</v>
      </c>
      <c r="E1" s="79" t="s">
        <v>81</v>
      </c>
      <c r="F1" s="79" t="s">
        <v>81</v>
      </c>
      <c r="G1" s="79" t="s">
        <v>81</v>
      </c>
      <c r="H1" s="79" t="s">
        <v>81</v>
      </c>
      <c r="I1" s="79" t="s">
        <v>81</v>
      </c>
    </row>
    <row r="2" spans="1:9" ht="19" customHeight="1">
      <c r="A2" s="80" t="s">
        <v>82</v>
      </c>
      <c r="B2" s="80" t="s">
        <v>82</v>
      </c>
      <c r="C2" s="80" t="s">
        <v>82</v>
      </c>
      <c r="D2" s="80" t="s">
        <v>82</v>
      </c>
      <c r="E2" s="80" t="s">
        <v>82</v>
      </c>
      <c r="F2" s="80" t="s">
        <v>82</v>
      </c>
      <c r="G2" s="80" t="s">
        <v>82</v>
      </c>
      <c r="H2" s="80" t="s">
        <v>82</v>
      </c>
      <c r="I2" s="80" t="s">
        <v>82</v>
      </c>
    </row>
    <row r="3" spans="1:9" ht="19" customHeight="1">
      <c r="A3" s="81" t="s">
        <v>26</v>
      </c>
      <c r="B3" s="81" t="s">
        <v>26</v>
      </c>
      <c r="C3" s="81" t="s">
        <v>26</v>
      </c>
      <c r="D3" s="81" t="s">
        <v>26</v>
      </c>
      <c r="E3" s="81" t="s">
        <v>26</v>
      </c>
      <c r="F3" s="81" t="s">
        <v>26</v>
      </c>
      <c r="G3" s="81" t="s">
        <v>26</v>
      </c>
      <c r="H3" s="81" t="s">
        <v>26</v>
      </c>
      <c r="I3" s="81" t="s">
        <v>26</v>
      </c>
    </row>
    <row r="4" spans="1:9" ht="19" customHeight="1">
      <c r="A4" s="2" t="s">
        <v>83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19" customHeight="1">
      <c r="A5" s="6" t="s">
        <v>84</v>
      </c>
      <c r="B5" s="6" t="s">
        <v>84</v>
      </c>
      <c r="C5" s="7" t="s">
        <v>85</v>
      </c>
      <c r="D5" s="26">
        <v>46218</v>
      </c>
      <c r="E5" s="7" t="s">
        <v>46</v>
      </c>
      <c r="F5" s="7" t="s">
        <v>39</v>
      </c>
      <c r="G5" s="65" t="s">
        <v>86</v>
      </c>
      <c r="H5" s="61">
        <v>20</v>
      </c>
      <c r="I5" s="32"/>
    </row>
    <row r="6" spans="1:9" ht="19" customHeight="1">
      <c r="A6" s="13" t="s">
        <v>87</v>
      </c>
      <c r="B6" s="13" t="s">
        <v>87</v>
      </c>
      <c r="C6" s="30" t="s">
        <v>88</v>
      </c>
      <c r="D6" s="35">
        <v>46221</v>
      </c>
      <c r="E6" s="30" t="s">
        <v>38</v>
      </c>
      <c r="F6" s="30" t="s">
        <v>39</v>
      </c>
      <c r="G6" s="65">
        <v>0.83333333333333337</v>
      </c>
      <c r="H6" s="64">
        <v>20</v>
      </c>
      <c r="I6" s="33"/>
    </row>
    <row r="7" spans="1:9" ht="19" customHeight="1">
      <c r="A7" s="13" t="s">
        <v>89</v>
      </c>
      <c r="B7" s="13" t="s">
        <v>89</v>
      </c>
      <c r="C7" s="7" t="s">
        <v>90</v>
      </c>
      <c r="D7" s="35">
        <v>46225</v>
      </c>
      <c r="E7" s="30" t="s">
        <v>46</v>
      </c>
      <c r="F7" s="30" t="s">
        <v>39</v>
      </c>
      <c r="G7" s="65">
        <v>0.83333333333333337</v>
      </c>
      <c r="H7" s="64">
        <v>20</v>
      </c>
      <c r="I7" s="33"/>
    </row>
    <row r="8" spans="1:9" ht="19" customHeight="1">
      <c r="A8" s="13" t="s">
        <v>91</v>
      </c>
      <c r="B8" s="13" t="s">
        <v>91</v>
      </c>
      <c r="C8" s="7" t="s">
        <v>92</v>
      </c>
      <c r="D8" s="35">
        <v>46232</v>
      </c>
      <c r="E8" s="30" t="s">
        <v>46</v>
      </c>
      <c r="F8" s="30" t="s">
        <v>39</v>
      </c>
      <c r="G8" s="65">
        <v>0.83333333333333337</v>
      </c>
      <c r="H8" s="64">
        <v>20</v>
      </c>
      <c r="I8" s="33"/>
    </row>
    <row r="9" spans="1:9" ht="19" customHeight="1">
      <c r="A9" s="13" t="s">
        <v>93</v>
      </c>
      <c r="B9" s="13" t="s">
        <v>93</v>
      </c>
      <c r="C9" s="1" t="s">
        <v>94</v>
      </c>
      <c r="D9" s="28">
        <v>46239</v>
      </c>
      <c r="E9" s="1" t="s">
        <v>46</v>
      </c>
      <c r="F9" s="1" t="s">
        <v>39</v>
      </c>
      <c r="G9" s="65">
        <v>0.83333333333333337</v>
      </c>
      <c r="H9" s="64">
        <v>20</v>
      </c>
    </row>
    <row r="10" spans="1:9" ht="19" customHeight="1">
      <c r="A10" s="13" t="s">
        <v>95</v>
      </c>
      <c r="B10" s="13" t="s">
        <v>95</v>
      </c>
      <c r="C10" s="1" t="s">
        <v>96</v>
      </c>
      <c r="D10" s="28">
        <v>46242</v>
      </c>
      <c r="E10" s="1" t="s">
        <v>38</v>
      </c>
      <c r="F10" s="1" t="s">
        <v>39</v>
      </c>
      <c r="G10" s="65">
        <v>0.83333333333333337</v>
      </c>
      <c r="H10" s="64">
        <v>20</v>
      </c>
    </row>
    <row r="11" spans="1:9" ht="19" customHeight="1">
      <c r="A11" s="1" t="s">
        <v>97</v>
      </c>
      <c r="B11" s="1" t="s">
        <v>97</v>
      </c>
      <c r="C11" s="1" t="s">
        <v>98</v>
      </c>
      <c r="D11" s="28">
        <v>46246</v>
      </c>
      <c r="E11" s="1" t="s">
        <v>70</v>
      </c>
      <c r="F11" s="1" t="s">
        <v>39</v>
      </c>
      <c r="G11" s="65">
        <v>0.83333333333333337</v>
      </c>
      <c r="H11" s="64">
        <v>20</v>
      </c>
    </row>
    <row r="12" spans="1:9" ht="19" customHeight="1">
      <c r="A12" s="1" t="s">
        <v>99</v>
      </c>
      <c r="B12" s="1" t="s">
        <v>99</v>
      </c>
      <c r="C12" s="1" t="s">
        <v>100</v>
      </c>
      <c r="D12" s="28">
        <v>46249</v>
      </c>
      <c r="E12" s="1" t="s">
        <v>46</v>
      </c>
      <c r="F12" s="1" t="s">
        <v>39</v>
      </c>
      <c r="G12" s="65">
        <v>0.83333333333333337</v>
      </c>
      <c r="H12" s="64">
        <v>20</v>
      </c>
    </row>
    <row r="13" spans="1:9" ht="19" customHeight="1">
      <c r="A13" s="1" t="s">
        <v>101</v>
      </c>
      <c r="B13" s="1" t="s">
        <v>101</v>
      </c>
      <c r="C13" s="1" t="s">
        <v>102</v>
      </c>
      <c r="D13" s="28">
        <v>46253</v>
      </c>
      <c r="E13" s="1" t="s">
        <v>46</v>
      </c>
      <c r="F13" s="1" t="s">
        <v>39</v>
      </c>
      <c r="G13" s="65">
        <v>0.83333333333333337</v>
      </c>
      <c r="H13" s="64">
        <v>20</v>
      </c>
    </row>
    <row r="14" spans="1:9" ht="19" customHeight="1">
      <c r="A14" s="1" t="s">
        <v>103</v>
      </c>
      <c r="B14" s="1" t="s">
        <v>103</v>
      </c>
      <c r="C14" s="1" t="s">
        <v>104</v>
      </c>
      <c r="D14" s="28">
        <v>46256</v>
      </c>
      <c r="E14" s="1" t="s">
        <v>38</v>
      </c>
      <c r="F14" s="1" t="s">
        <v>39</v>
      </c>
      <c r="G14" s="65">
        <v>0.83333333333333337</v>
      </c>
      <c r="H14" s="64">
        <v>20</v>
      </c>
    </row>
    <row r="15" spans="1:9" ht="19" customHeight="1">
      <c r="A15" s="1" t="s">
        <v>105</v>
      </c>
      <c r="B15" s="1" t="s">
        <v>105</v>
      </c>
      <c r="C15" s="1" t="s">
        <v>106</v>
      </c>
      <c r="D15" s="28">
        <v>46260</v>
      </c>
      <c r="E15" s="1" t="s">
        <v>46</v>
      </c>
      <c r="F15" s="1" t="s">
        <v>39</v>
      </c>
      <c r="G15" s="65">
        <v>0.83333333333333337</v>
      </c>
      <c r="H15" s="64">
        <v>20</v>
      </c>
    </row>
    <row r="16" spans="1:9" ht="19" customHeight="1">
      <c r="A16" s="1" t="s">
        <v>107</v>
      </c>
      <c r="B16" s="1" t="s">
        <v>107</v>
      </c>
      <c r="C16" s="1" t="s">
        <v>108</v>
      </c>
      <c r="D16" s="28">
        <v>46263</v>
      </c>
      <c r="E16" s="1" t="s">
        <v>38</v>
      </c>
      <c r="F16" s="1" t="s">
        <v>39</v>
      </c>
      <c r="G16" s="65">
        <v>0.83333333333333337</v>
      </c>
      <c r="H16" s="64">
        <v>20</v>
      </c>
    </row>
    <row r="17" spans="1:8" ht="19" customHeight="1">
      <c r="A17" s="1" t="s">
        <v>156</v>
      </c>
      <c r="B17" s="1" t="s">
        <v>156</v>
      </c>
      <c r="C17" s="1" t="s">
        <v>157</v>
      </c>
      <c r="D17" s="28">
        <v>46267</v>
      </c>
      <c r="E17" s="1" t="s">
        <v>46</v>
      </c>
      <c r="F17" s="1" t="s">
        <v>39</v>
      </c>
      <c r="G17" s="65">
        <v>0.83333333333333337</v>
      </c>
      <c r="H17" s="64">
        <v>20</v>
      </c>
    </row>
    <row r="18" spans="1:8" ht="19" customHeight="1">
      <c r="A18" s="1" t="s">
        <v>159</v>
      </c>
      <c r="B18" s="1" t="s">
        <v>159</v>
      </c>
      <c r="C18" s="1" t="s">
        <v>160</v>
      </c>
      <c r="D18" s="28">
        <v>46275</v>
      </c>
      <c r="E18" s="1" t="s">
        <v>46</v>
      </c>
      <c r="F18" s="1" t="s">
        <v>39</v>
      </c>
      <c r="G18" s="65">
        <v>0.83333333333333337</v>
      </c>
      <c r="H18" s="64">
        <v>20</v>
      </c>
    </row>
    <row r="19" spans="1:8" ht="19" customHeight="1">
      <c r="A19" s="1" t="s">
        <v>161</v>
      </c>
      <c r="B19" s="1" t="s">
        <v>161</v>
      </c>
      <c r="C19" s="1" t="s">
        <v>163</v>
      </c>
      <c r="D19" s="28">
        <v>46277</v>
      </c>
      <c r="E19" s="1" t="s">
        <v>70</v>
      </c>
      <c r="F19" s="1" t="s">
        <v>39</v>
      </c>
      <c r="G19" s="65">
        <v>0.83333333333333337</v>
      </c>
      <c r="H19" s="64">
        <v>20</v>
      </c>
    </row>
    <row r="20" spans="1:8" ht="19" customHeight="1">
      <c r="A20" s="1" t="s">
        <v>162</v>
      </c>
      <c r="B20" s="1" t="s">
        <v>162</v>
      </c>
      <c r="C20" s="1" t="s">
        <v>164</v>
      </c>
      <c r="D20" s="28">
        <v>46281</v>
      </c>
      <c r="E20" s="1" t="s">
        <v>70</v>
      </c>
      <c r="F20" s="1" t="s">
        <v>39</v>
      </c>
      <c r="G20" s="65">
        <v>0.83333333333333337</v>
      </c>
      <c r="H20" s="64">
        <v>20</v>
      </c>
    </row>
    <row r="21" spans="1:8" ht="19" customHeight="1">
      <c r="A21" s="1" t="s">
        <v>165</v>
      </c>
      <c r="B21" s="1" t="s">
        <v>165</v>
      </c>
      <c r="C21" s="1" t="s">
        <v>166</v>
      </c>
      <c r="D21" s="28">
        <v>46284</v>
      </c>
      <c r="E21" s="1" t="s">
        <v>38</v>
      </c>
      <c r="F21" s="1" t="s">
        <v>39</v>
      </c>
      <c r="G21" s="65">
        <v>0.83333333333333337</v>
      </c>
      <c r="H21" s="64">
        <v>20</v>
      </c>
    </row>
    <row r="22" spans="1:8" ht="19" customHeight="1">
      <c r="A22" s="1" t="s">
        <v>167</v>
      </c>
      <c r="B22" s="1" t="s">
        <v>167</v>
      </c>
      <c r="C22" s="1" t="s">
        <v>168</v>
      </c>
      <c r="D22" s="28">
        <v>46288</v>
      </c>
      <c r="E22" s="1" t="s">
        <v>46</v>
      </c>
      <c r="F22" s="1" t="s">
        <v>39</v>
      </c>
      <c r="G22" s="65">
        <v>0.83333333333333337</v>
      </c>
      <c r="H22" s="64">
        <v>20</v>
      </c>
    </row>
    <row r="23" spans="1:8" ht="19" customHeight="1">
      <c r="A23" s="1" t="s">
        <v>170</v>
      </c>
      <c r="B23" s="1" t="s">
        <v>170</v>
      </c>
      <c r="C23" s="1" t="s">
        <v>171</v>
      </c>
      <c r="D23" s="28">
        <v>46291</v>
      </c>
      <c r="E23" s="1" t="s">
        <v>38</v>
      </c>
      <c r="F23" s="1" t="s">
        <v>39</v>
      </c>
      <c r="G23" s="65">
        <v>0.83333333333333337</v>
      </c>
      <c r="H23" s="64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F5:F23 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62"/>
  <sheetViews>
    <sheetView showGridLines="0" tabSelected="1" topLeftCell="A136" workbookViewId="0">
      <selection activeCell="A156" sqref="A156"/>
    </sheetView>
  </sheetViews>
  <sheetFormatPr baseColWidth="10" defaultColWidth="8.83203125" defaultRowHeight="25" customHeight="1"/>
  <cols>
    <col min="1" max="1" width="33.83203125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5" customHeight="1">
      <c r="A1" s="68" t="s">
        <v>109</v>
      </c>
      <c r="B1" s="68"/>
      <c r="C1" s="68"/>
      <c r="D1" s="68"/>
    </row>
    <row r="2" spans="1:4" ht="25" customHeight="1">
      <c r="A2" s="69" t="s">
        <v>110</v>
      </c>
      <c r="B2" s="69"/>
      <c r="C2" s="69"/>
      <c r="D2" s="69"/>
    </row>
    <row r="3" spans="1:4" ht="25" customHeight="1">
      <c r="A3" s="70" t="s">
        <v>111</v>
      </c>
      <c r="B3" s="70"/>
      <c r="C3" s="70"/>
      <c r="D3" s="70"/>
    </row>
    <row r="4" spans="1:4" ht="25" customHeight="1">
      <c r="A4" s="2" t="s">
        <v>83</v>
      </c>
      <c r="B4" s="3" t="s">
        <v>51</v>
      </c>
      <c r="C4" s="4" t="s">
        <v>112</v>
      </c>
      <c r="D4" s="5" t="s">
        <v>113</v>
      </c>
    </row>
    <row r="5" spans="1:4" ht="25" customHeight="1">
      <c r="A5" s="6" t="s">
        <v>84</v>
      </c>
      <c r="B5" s="7" t="s">
        <v>46</v>
      </c>
      <c r="C5" s="8">
        <v>40</v>
      </c>
      <c r="D5" s="9">
        <v>65</v>
      </c>
    </row>
    <row r="6" spans="1:4" ht="25" customHeight="1">
      <c r="A6" s="6" t="s">
        <v>84</v>
      </c>
      <c r="B6" s="10" t="s">
        <v>70</v>
      </c>
      <c r="C6" s="11">
        <v>40</v>
      </c>
      <c r="D6" s="12">
        <v>41.25</v>
      </c>
    </row>
    <row r="7" spans="1:4" ht="25" customHeight="1">
      <c r="A7" s="6" t="s">
        <v>84</v>
      </c>
      <c r="B7" s="10" t="s">
        <v>62</v>
      </c>
      <c r="C7" s="11">
        <v>20</v>
      </c>
      <c r="D7" s="12">
        <v>42.75</v>
      </c>
    </row>
    <row r="8" spans="1:4" ht="25" customHeight="1">
      <c r="A8" s="6" t="s">
        <v>84</v>
      </c>
      <c r="B8" s="10" t="s">
        <v>64</v>
      </c>
      <c r="C8" s="11">
        <v>40</v>
      </c>
      <c r="D8" s="12">
        <v>48.55</v>
      </c>
    </row>
    <row r="9" spans="1:4" ht="25" customHeight="1">
      <c r="A9" s="6" t="s">
        <v>84</v>
      </c>
      <c r="B9" s="10" t="s">
        <v>63</v>
      </c>
      <c r="C9" s="11">
        <v>60</v>
      </c>
      <c r="D9" s="12">
        <v>23.25</v>
      </c>
    </row>
    <row r="10" spans="1:4" ht="25" customHeight="1">
      <c r="A10" s="6" t="s">
        <v>84</v>
      </c>
      <c r="B10" s="10" t="s">
        <v>71</v>
      </c>
      <c r="C10" s="11">
        <v>60</v>
      </c>
      <c r="D10" s="12">
        <v>23.3</v>
      </c>
    </row>
    <row r="11" spans="1:4" ht="25" customHeight="1">
      <c r="A11" s="13" t="s">
        <v>84</v>
      </c>
      <c r="B11" s="1" t="s">
        <v>38</v>
      </c>
      <c r="C11" s="14">
        <v>20</v>
      </c>
      <c r="D11" s="14">
        <v>11.7</v>
      </c>
    </row>
    <row r="12" spans="1:4" ht="25" customHeight="1">
      <c r="A12" s="13" t="s">
        <v>84</v>
      </c>
      <c r="B12" s="1" t="s">
        <v>67</v>
      </c>
      <c r="C12" s="14">
        <v>20</v>
      </c>
      <c r="D12" s="14">
        <v>33.5</v>
      </c>
    </row>
    <row r="13" spans="1:4" ht="25" customHeight="1">
      <c r="A13" s="13" t="s">
        <v>84</v>
      </c>
      <c r="B13" s="1" t="s">
        <v>68</v>
      </c>
      <c r="C13" s="14">
        <v>20</v>
      </c>
      <c r="D13" s="14">
        <v>30.05</v>
      </c>
    </row>
    <row r="14" spans="1:4" ht="25" customHeight="1">
      <c r="A14" s="13" t="s">
        <v>87</v>
      </c>
      <c r="B14" s="1" t="s">
        <v>38</v>
      </c>
      <c r="C14" s="14">
        <v>20</v>
      </c>
      <c r="D14" s="14">
        <v>22.5</v>
      </c>
    </row>
    <row r="15" spans="1:4" ht="25" customHeight="1">
      <c r="A15" s="13" t="s">
        <v>87</v>
      </c>
      <c r="B15" s="1" t="s">
        <v>70</v>
      </c>
      <c r="C15" s="14">
        <v>100</v>
      </c>
      <c r="D15" s="14">
        <v>40.6</v>
      </c>
    </row>
    <row r="16" spans="1:4" ht="25" customHeight="1">
      <c r="A16" s="13" t="s">
        <v>87</v>
      </c>
      <c r="B16" s="1" t="s">
        <v>79</v>
      </c>
      <c r="C16" s="14">
        <v>50</v>
      </c>
      <c r="D16" s="14">
        <v>0</v>
      </c>
    </row>
    <row r="17" spans="1:4" ht="25" customHeight="1">
      <c r="A17" s="13" t="s">
        <v>87</v>
      </c>
      <c r="B17" s="1" t="s">
        <v>46</v>
      </c>
      <c r="C17" s="14">
        <v>40</v>
      </c>
      <c r="D17" s="14">
        <v>53</v>
      </c>
    </row>
    <row r="18" spans="1:4" ht="25" customHeight="1">
      <c r="A18" s="13" t="s">
        <v>87</v>
      </c>
      <c r="B18" s="1" t="s">
        <v>71</v>
      </c>
      <c r="C18" s="14">
        <v>20</v>
      </c>
      <c r="D18" s="14">
        <v>143.9</v>
      </c>
    </row>
    <row r="19" spans="1:4" ht="25" customHeight="1">
      <c r="A19" s="13" t="s">
        <v>87</v>
      </c>
      <c r="B19" s="1" t="s">
        <v>63</v>
      </c>
      <c r="C19" s="14">
        <v>20</v>
      </c>
      <c r="D19" s="14">
        <v>31.3</v>
      </c>
    </row>
    <row r="20" spans="1:4" ht="25" customHeight="1">
      <c r="A20" s="13" t="s">
        <v>87</v>
      </c>
      <c r="B20" s="1" t="s">
        <v>62</v>
      </c>
      <c r="C20" s="14">
        <v>60</v>
      </c>
      <c r="D20" s="14">
        <v>0</v>
      </c>
    </row>
    <row r="21" spans="1:4" ht="25" customHeight="1">
      <c r="A21" s="13" t="s">
        <v>87</v>
      </c>
      <c r="B21" s="1" t="s">
        <v>64</v>
      </c>
      <c r="C21" s="14">
        <v>120</v>
      </c>
      <c r="D21" s="14">
        <v>148.9</v>
      </c>
    </row>
    <row r="22" spans="1:4" ht="25" customHeight="1">
      <c r="A22" s="13" t="s">
        <v>89</v>
      </c>
      <c r="B22" s="1" t="s">
        <v>46</v>
      </c>
      <c r="C22" s="14">
        <v>40</v>
      </c>
      <c r="D22" s="14">
        <v>73.75</v>
      </c>
    </row>
    <row r="23" spans="1:4" ht="25" customHeight="1">
      <c r="A23" s="13" t="s">
        <v>89</v>
      </c>
      <c r="B23" s="1" t="s">
        <v>71</v>
      </c>
      <c r="C23" s="14">
        <v>60</v>
      </c>
      <c r="D23" s="14">
        <v>19</v>
      </c>
    </row>
    <row r="24" spans="1:4" ht="25" customHeight="1">
      <c r="A24" s="13" t="s">
        <v>89</v>
      </c>
      <c r="B24" s="1" t="s">
        <v>63</v>
      </c>
      <c r="C24" s="14">
        <v>20</v>
      </c>
      <c r="D24" s="14">
        <v>74.5</v>
      </c>
    </row>
    <row r="25" spans="1:4" ht="25" customHeight="1">
      <c r="A25" s="13" t="s">
        <v>89</v>
      </c>
      <c r="B25" s="1" t="s">
        <v>70</v>
      </c>
      <c r="C25" s="14">
        <v>100</v>
      </c>
      <c r="D25" s="14">
        <v>15.75</v>
      </c>
    </row>
    <row r="26" spans="1:4" ht="25" customHeight="1">
      <c r="A26" s="13" t="s">
        <v>89</v>
      </c>
      <c r="B26" s="1" t="s">
        <v>67</v>
      </c>
      <c r="C26" s="14">
        <v>40</v>
      </c>
      <c r="D26" s="14">
        <v>23.25</v>
      </c>
    </row>
    <row r="27" spans="1:4" ht="25" customHeight="1">
      <c r="A27" s="13" t="s">
        <v>89</v>
      </c>
      <c r="B27" s="1" t="s">
        <v>38</v>
      </c>
      <c r="C27" s="14">
        <v>20</v>
      </c>
      <c r="D27" s="14">
        <v>21.75</v>
      </c>
    </row>
    <row r="28" spans="1:4" ht="25" customHeight="1">
      <c r="A28" s="13" t="s">
        <v>89</v>
      </c>
      <c r="B28" s="1" t="s">
        <v>68</v>
      </c>
      <c r="C28" s="14">
        <v>20</v>
      </c>
      <c r="D28" s="14">
        <v>30.25</v>
      </c>
    </row>
    <row r="29" spans="1:4" ht="25" customHeight="1">
      <c r="A29" s="13" t="s">
        <v>89</v>
      </c>
      <c r="B29" s="1" t="s">
        <v>62</v>
      </c>
      <c r="C29" s="14">
        <v>20</v>
      </c>
      <c r="D29" s="14">
        <v>34.25</v>
      </c>
    </row>
    <row r="30" spans="1:4" ht="25" customHeight="1">
      <c r="A30" s="13" t="s">
        <v>89</v>
      </c>
      <c r="B30" s="1" t="s">
        <v>64</v>
      </c>
      <c r="C30" s="14">
        <v>20</v>
      </c>
      <c r="D30" s="14">
        <v>47.5</v>
      </c>
    </row>
    <row r="31" spans="1:4" ht="25" customHeight="1">
      <c r="A31" s="13" t="s">
        <v>91</v>
      </c>
      <c r="B31" s="1" t="s">
        <v>46</v>
      </c>
      <c r="C31" s="14">
        <v>40</v>
      </c>
      <c r="D31" s="14">
        <v>20</v>
      </c>
    </row>
    <row r="32" spans="1:4" ht="25" customHeight="1">
      <c r="A32" s="13" t="s">
        <v>91</v>
      </c>
      <c r="B32" s="1" t="s">
        <v>70</v>
      </c>
      <c r="C32" s="14">
        <v>30</v>
      </c>
      <c r="D32" s="14">
        <v>33</v>
      </c>
    </row>
    <row r="33" spans="1:4" ht="25" customHeight="1">
      <c r="A33" s="13" t="s">
        <v>91</v>
      </c>
      <c r="B33" s="1" t="s">
        <v>62</v>
      </c>
      <c r="C33" s="14">
        <v>60</v>
      </c>
      <c r="D33" s="14">
        <v>47.75</v>
      </c>
    </row>
    <row r="34" spans="1:4" ht="25" customHeight="1">
      <c r="A34" s="13" t="s">
        <v>91</v>
      </c>
      <c r="B34" s="1" t="s">
        <v>64</v>
      </c>
      <c r="C34" s="14">
        <v>60</v>
      </c>
      <c r="D34" s="14">
        <v>45</v>
      </c>
    </row>
    <row r="35" spans="1:4" ht="25" customHeight="1">
      <c r="A35" s="13" t="s">
        <v>91</v>
      </c>
      <c r="B35" s="1" t="s">
        <v>38</v>
      </c>
      <c r="C35" s="14">
        <v>20</v>
      </c>
      <c r="D35" s="14">
        <v>24.25</v>
      </c>
    </row>
    <row r="36" spans="1:4" ht="25" customHeight="1">
      <c r="A36" s="13" t="s">
        <v>91</v>
      </c>
      <c r="B36" s="1" t="s">
        <v>63</v>
      </c>
      <c r="C36" s="14">
        <v>20</v>
      </c>
      <c r="D36" s="14">
        <v>48.25</v>
      </c>
    </row>
    <row r="37" spans="1:4" ht="25" customHeight="1">
      <c r="A37" s="13" t="s">
        <v>91</v>
      </c>
      <c r="B37" s="1" t="s">
        <v>71</v>
      </c>
      <c r="C37" s="14">
        <v>60</v>
      </c>
      <c r="D37" s="14">
        <v>18.5</v>
      </c>
    </row>
    <row r="38" spans="1:4" ht="25" customHeight="1">
      <c r="A38" s="13" t="s">
        <v>91</v>
      </c>
      <c r="B38" s="1" t="s">
        <v>68</v>
      </c>
      <c r="C38" s="14">
        <v>20</v>
      </c>
      <c r="D38" s="14">
        <v>73.25</v>
      </c>
    </row>
    <row r="39" spans="1:4" ht="25" customHeight="1">
      <c r="A39" s="13" t="s">
        <v>93</v>
      </c>
      <c r="B39" s="1" t="s">
        <v>64</v>
      </c>
      <c r="C39" s="14">
        <v>20</v>
      </c>
      <c r="D39" s="14">
        <v>30.75</v>
      </c>
    </row>
    <row r="40" spans="1:4" ht="25" customHeight="1">
      <c r="A40" s="13" t="s">
        <v>93</v>
      </c>
      <c r="B40" s="1" t="s">
        <v>62</v>
      </c>
      <c r="C40" s="14">
        <v>20</v>
      </c>
      <c r="D40" s="14">
        <v>61.5</v>
      </c>
    </row>
    <row r="41" spans="1:4" ht="25" customHeight="1">
      <c r="A41" s="13" t="s">
        <v>93</v>
      </c>
      <c r="B41" s="1" t="s">
        <v>46</v>
      </c>
      <c r="C41" s="14">
        <v>70</v>
      </c>
      <c r="D41" s="14">
        <v>29.25</v>
      </c>
    </row>
    <row r="42" spans="1:4" ht="25" customHeight="1">
      <c r="A42" s="13" t="s">
        <v>93</v>
      </c>
      <c r="B42" s="1" t="s">
        <v>114</v>
      </c>
      <c r="C42" s="14">
        <v>20</v>
      </c>
      <c r="D42" s="14">
        <v>23.75</v>
      </c>
    </row>
    <row r="43" spans="1:4" ht="25" customHeight="1">
      <c r="A43" s="13" t="s">
        <v>93</v>
      </c>
      <c r="B43" s="1" t="s">
        <v>67</v>
      </c>
      <c r="C43" s="14">
        <v>70</v>
      </c>
      <c r="D43" s="14">
        <v>0</v>
      </c>
    </row>
    <row r="44" spans="1:4" ht="25" customHeight="1">
      <c r="A44" s="13" t="s">
        <v>93</v>
      </c>
      <c r="B44" s="1" t="s">
        <v>70</v>
      </c>
      <c r="C44" s="14">
        <v>20</v>
      </c>
      <c r="D44" s="14">
        <v>42.75</v>
      </c>
    </row>
    <row r="45" spans="1:4" ht="25" customHeight="1">
      <c r="A45" s="13" t="s">
        <v>93</v>
      </c>
      <c r="B45" s="1" t="s">
        <v>38</v>
      </c>
      <c r="C45" s="14">
        <v>20</v>
      </c>
      <c r="D45" s="14">
        <v>31.5</v>
      </c>
    </row>
    <row r="46" spans="1:4" ht="25" customHeight="1">
      <c r="A46" s="13" t="s">
        <v>93</v>
      </c>
      <c r="B46" s="1" t="s">
        <v>71</v>
      </c>
      <c r="C46" s="14">
        <v>40</v>
      </c>
      <c r="D46" s="14">
        <v>0</v>
      </c>
    </row>
    <row r="47" spans="1:4" ht="25" customHeight="1">
      <c r="A47" s="13" t="s">
        <v>93</v>
      </c>
      <c r="B47" s="1" t="s">
        <v>63</v>
      </c>
      <c r="C47" s="14">
        <v>20</v>
      </c>
      <c r="D47" s="14">
        <v>73.75</v>
      </c>
    </row>
    <row r="48" spans="1:4" ht="25" customHeight="1">
      <c r="A48" s="13" t="s">
        <v>93</v>
      </c>
      <c r="B48" s="1" t="s">
        <v>59</v>
      </c>
      <c r="C48" s="14">
        <v>30</v>
      </c>
      <c r="D48" s="14">
        <v>36.75</v>
      </c>
    </row>
    <row r="49" spans="1:4" ht="25" customHeight="1">
      <c r="A49" s="13" t="s">
        <v>95</v>
      </c>
      <c r="B49" s="1" t="s">
        <v>70</v>
      </c>
      <c r="C49" s="14">
        <v>20</v>
      </c>
      <c r="D49" s="14">
        <v>10.4</v>
      </c>
    </row>
    <row r="50" spans="1:4" ht="25" customHeight="1">
      <c r="A50" s="13" t="s">
        <v>95</v>
      </c>
      <c r="B50" s="1" t="s">
        <v>67</v>
      </c>
      <c r="C50" s="14">
        <v>40</v>
      </c>
      <c r="D50" s="14">
        <v>0</v>
      </c>
    </row>
    <row r="51" spans="1:4" ht="25" customHeight="1">
      <c r="A51" s="13" t="s">
        <v>95</v>
      </c>
      <c r="B51" s="1" t="s">
        <v>38</v>
      </c>
      <c r="C51" s="14">
        <v>20</v>
      </c>
      <c r="D51" s="14">
        <v>42.5</v>
      </c>
    </row>
    <row r="52" spans="1:4" ht="25" customHeight="1">
      <c r="A52" s="13" t="s">
        <v>95</v>
      </c>
      <c r="B52" s="1" t="s">
        <v>71</v>
      </c>
      <c r="C52" s="14">
        <v>20</v>
      </c>
      <c r="D52" s="14">
        <v>0</v>
      </c>
    </row>
    <row r="53" spans="1:4" ht="25" customHeight="1">
      <c r="A53" s="13" t="s">
        <v>95</v>
      </c>
      <c r="B53" s="1" t="s">
        <v>63</v>
      </c>
      <c r="C53" s="14">
        <v>20</v>
      </c>
      <c r="D53" s="14">
        <v>0</v>
      </c>
    </row>
    <row r="54" spans="1:4" ht="25" customHeight="1">
      <c r="A54" s="13" t="s">
        <v>95</v>
      </c>
      <c r="B54" s="1" t="s">
        <v>64</v>
      </c>
      <c r="C54" s="14">
        <v>20</v>
      </c>
      <c r="D54" s="14">
        <v>61.9</v>
      </c>
    </row>
    <row r="55" spans="1:4" ht="25" customHeight="1">
      <c r="A55" s="13" t="s">
        <v>95</v>
      </c>
      <c r="B55" s="1" t="s">
        <v>46</v>
      </c>
      <c r="C55" s="14">
        <v>20</v>
      </c>
      <c r="D55" s="14">
        <v>19.899999999999999</v>
      </c>
    </row>
    <row r="56" spans="1:4" ht="25" customHeight="1">
      <c r="A56" s="13" t="s">
        <v>95</v>
      </c>
      <c r="B56" s="1" t="s">
        <v>62</v>
      </c>
      <c r="C56" s="14">
        <v>20</v>
      </c>
      <c r="D56" s="14">
        <v>45.3</v>
      </c>
    </row>
    <row r="57" spans="1:4" ht="25" customHeight="1">
      <c r="A57" s="1" t="s">
        <v>97</v>
      </c>
      <c r="B57" s="1" t="s">
        <v>70</v>
      </c>
      <c r="C57" s="14">
        <v>55</v>
      </c>
      <c r="D57" s="14">
        <v>38.200000000000003</v>
      </c>
    </row>
    <row r="58" spans="1:4" ht="25" customHeight="1">
      <c r="A58" s="1" t="s">
        <v>97</v>
      </c>
      <c r="B58" s="1" t="s">
        <v>71</v>
      </c>
      <c r="C58" s="14">
        <v>20</v>
      </c>
      <c r="D58" s="14">
        <v>34.200000000000003</v>
      </c>
    </row>
    <row r="59" spans="1:4" ht="25" customHeight="1">
      <c r="A59" s="1" t="s">
        <v>97</v>
      </c>
      <c r="B59" s="1" t="s">
        <v>63</v>
      </c>
      <c r="C59" s="14">
        <v>20</v>
      </c>
      <c r="D59" s="14">
        <v>37.700000000000003</v>
      </c>
    </row>
    <row r="60" spans="1:4" ht="25" customHeight="1">
      <c r="A60" s="1" t="s">
        <v>97</v>
      </c>
      <c r="B60" s="1" t="s">
        <v>38</v>
      </c>
      <c r="C60" s="14">
        <v>40</v>
      </c>
      <c r="D60" s="14">
        <v>25.4</v>
      </c>
    </row>
    <row r="61" spans="1:4" ht="25" customHeight="1">
      <c r="A61" s="1" t="s">
        <v>97</v>
      </c>
      <c r="B61" s="1" t="s">
        <v>64</v>
      </c>
      <c r="C61" s="14">
        <v>20</v>
      </c>
      <c r="D61" s="14">
        <v>25.3</v>
      </c>
    </row>
    <row r="62" spans="1:4" ht="25" customHeight="1">
      <c r="A62" s="1" t="s">
        <v>97</v>
      </c>
      <c r="B62" s="1" t="s">
        <v>62</v>
      </c>
      <c r="C62" s="14">
        <v>40</v>
      </c>
      <c r="D62" s="14">
        <v>0</v>
      </c>
    </row>
    <row r="63" spans="1:4" ht="25" customHeight="1">
      <c r="A63" s="1" t="s">
        <v>97</v>
      </c>
      <c r="B63" s="1" t="s">
        <v>115</v>
      </c>
      <c r="C63" s="14">
        <v>20</v>
      </c>
      <c r="D63" s="14">
        <v>47.8</v>
      </c>
    </row>
    <row r="64" spans="1:4" ht="25" customHeight="1">
      <c r="A64" s="1" t="s">
        <v>97</v>
      </c>
      <c r="B64" s="1" t="s">
        <v>67</v>
      </c>
      <c r="C64" s="14">
        <v>20</v>
      </c>
      <c r="D64" s="14">
        <v>26.4</v>
      </c>
    </row>
    <row r="65" spans="1:4" ht="25" customHeight="1">
      <c r="A65" s="1" t="s">
        <v>99</v>
      </c>
      <c r="B65" s="1" t="s">
        <v>46</v>
      </c>
      <c r="C65" s="14">
        <v>60</v>
      </c>
      <c r="D65" s="14">
        <v>23.5</v>
      </c>
    </row>
    <row r="66" spans="1:4" ht="25" customHeight="1">
      <c r="A66" s="1" t="s">
        <v>99</v>
      </c>
      <c r="B66" s="1" t="s">
        <v>70</v>
      </c>
      <c r="C66" s="14">
        <v>30</v>
      </c>
      <c r="D66" s="14">
        <v>43.75</v>
      </c>
    </row>
    <row r="67" spans="1:4" ht="25" customHeight="1">
      <c r="A67" s="1" t="s">
        <v>99</v>
      </c>
      <c r="B67" s="1" t="s">
        <v>71</v>
      </c>
      <c r="C67" s="14">
        <v>40</v>
      </c>
      <c r="D67" s="14">
        <v>52.5</v>
      </c>
    </row>
    <row r="68" spans="1:4" ht="25" customHeight="1">
      <c r="A68" s="1" t="s">
        <v>99</v>
      </c>
      <c r="B68" s="1" t="s">
        <v>63</v>
      </c>
      <c r="C68" s="14">
        <v>20</v>
      </c>
      <c r="D68" s="14">
        <v>21.25</v>
      </c>
    </row>
    <row r="69" spans="1:4" ht="25" customHeight="1">
      <c r="A69" s="1" t="s">
        <v>99</v>
      </c>
      <c r="B69" s="1" t="s">
        <v>68</v>
      </c>
      <c r="C69" s="14">
        <v>20</v>
      </c>
      <c r="D69" s="14">
        <v>75.25</v>
      </c>
    </row>
    <row r="70" spans="1:4" ht="25" customHeight="1">
      <c r="A70" s="1" t="s">
        <v>99</v>
      </c>
      <c r="B70" s="1" t="s">
        <v>116</v>
      </c>
      <c r="C70" s="14">
        <v>20</v>
      </c>
      <c r="D70" s="14">
        <v>0</v>
      </c>
    </row>
    <row r="71" spans="1:4" ht="25" customHeight="1">
      <c r="A71" s="1" t="s">
        <v>99</v>
      </c>
      <c r="B71" s="1" t="s">
        <v>67</v>
      </c>
      <c r="C71" s="14">
        <v>20</v>
      </c>
      <c r="D71" s="14">
        <v>0</v>
      </c>
    </row>
    <row r="72" spans="1:4" ht="25" customHeight="1">
      <c r="A72" s="1" t="s">
        <v>99</v>
      </c>
      <c r="B72" s="1" t="s">
        <v>62</v>
      </c>
      <c r="C72" s="14">
        <v>40</v>
      </c>
      <c r="D72" s="14">
        <v>24.25</v>
      </c>
    </row>
    <row r="73" spans="1:4" ht="25" customHeight="1">
      <c r="A73" s="1" t="s">
        <v>99</v>
      </c>
      <c r="B73" s="1" t="s">
        <v>65</v>
      </c>
      <c r="C73" s="14">
        <v>20</v>
      </c>
      <c r="D73" s="14">
        <v>69.5</v>
      </c>
    </row>
    <row r="74" spans="1:4" ht="25" customHeight="1">
      <c r="A74" s="1" t="s">
        <v>99</v>
      </c>
      <c r="B74" s="1" t="s">
        <v>64</v>
      </c>
      <c r="C74" s="14">
        <v>40</v>
      </c>
      <c r="D74" s="14">
        <v>0</v>
      </c>
    </row>
    <row r="75" spans="1:4" ht="25" customHeight="1">
      <c r="A75" s="1" t="s">
        <v>101</v>
      </c>
      <c r="B75" s="1" t="s">
        <v>46</v>
      </c>
      <c r="C75" s="14">
        <v>30</v>
      </c>
      <c r="D75" s="14">
        <v>34</v>
      </c>
    </row>
    <row r="76" spans="1:4" ht="25" customHeight="1">
      <c r="A76" s="1" t="s">
        <v>101</v>
      </c>
      <c r="B76" s="1" t="s">
        <v>115</v>
      </c>
      <c r="C76" s="14">
        <v>30</v>
      </c>
      <c r="D76" s="14">
        <v>0</v>
      </c>
    </row>
    <row r="77" spans="1:4" ht="25" customHeight="1">
      <c r="A77" s="1" t="s">
        <v>101</v>
      </c>
      <c r="B77" s="1" t="s">
        <v>62</v>
      </c>
      <c r="C77" s="14">
        <v>20</v>
      </c>
      <c r="D77" s="14">
        <v>76.5</v>
      </c>
    </row>
    <row r="78" spans="1:4" ht="25" customHeight="1">
      <c r="A78" s="1" t="s">
        <v>101</v>
      </c>
      <c r="B78" s="1" t="s">
        <v>67</v>
      </c>
      <c r="C78" s="14">
        <v>20</v>
      </c>
      <c r="D78" s="14">
        <v>43</v>
      </c>
    </row>
    <row r="79" spans="1:4" ht="25" customHeight="1">
      <c r="A79" s="1" t="s">
        <v>101</v>
      </c>
      <c r="B79" s="1" t="s">
        <v>70</v>
      </c>
      <c r="C79" s="14">
        <v>40</v>
      </c>
      <c r="D79" s="14">
        <v>40.75</v>
      </c>
    </row>
    <row r="80" spans="1:4" ht="25" customHeight="1">
      <c r="A80" s="1" t="s">
        <v>101</v>
      </c>
      <c r="B80" s="1" t="s">
        <v>38</v>
      </c>
      <c r="C80" s="14">
        <v>50</v>
      </c>
      <c r="D80" s="14">
        <v>17.75</v>
      </c>
    </row>
    <row r="81" spans="1:4" ht="25" customHeight="1">
      <c r="A81" s="1" t="s">
        <v>101</v>
      </c>
      <c r="B81" s="1" t="s">
        <v>71</v>
      </c>
      <c r="C81" s="14">
        <v>20</v>
      </c>
      <c r="D81" s="14">
        <v>81.25</v>
      </c>
    </row>
    <row r="82" spans="1:4" ht="25" customHeight="1">
      <c r="A82" s="1" t="s">
        <v>101</v>
      </c>
      <c r="B82" s="1" t="s">
        <v>63</v>
      </c>
      <c r="C82" s="14">
        <v>20</v>
      </c>
      <c r="D82" s="14">
        <v>31.5</v>
      </c>
    </row>
    <row r="83" spans="1:4" ht="25" customHeight="1">
      <c r="A83" s="1" t="s">
        <v>101</v>
      </c>
      <c r="B83" s="1" t="s">
        <v>68</v>
      </c>
      <c r="C83" s="14">
        <v>20</v>
      </c>
      <c r="D83" s="14">
        <v>0</v>
      </c>
    </row>
    <row r="84" spans="1:4" ht="25" customHeight="1">
      <c r="A84" s="1" t="s">
        <v>101</v>
      </c>
      <c r="B84" s="1" t="s">
        <v>64</v>
      </c>
      <c r="C84" s="14">
        <v>100</v>
      </c>
      <c r="D84" s="14">
        <v>25.25</v>
      </c>
    </row>
    <row r="85" spans="1:4" ht="25" customHeight="1">
      <c r="A85" s="1" t="s">
        <v>103</v>
      </c>
      <c r="B85" s="1" t="s">
        <v>71</v>
      </c>
      <c r="C85" s="14">
        <v>40</v>
      </c>
      <c r="D85" s="14">
        <v>0</v>
      </c>
    </row>
    <row r="86" spans="1:4" ht="25" customHeight="1">
      <c r="A86" s="1" t="s">
        <v>103</v>
      </c>
      <c r="B86" s="1" t="s">
        <v>38</v>
      </c>
      <c r="C86" s="14">
        <v>40</v>
      </c>
      <c r="D86" s="14">
        <v>28</v>
      </c>
    </row>
    <row r="87" spans="1:4" ht="25" customHeight="1">
      <c r="A87" s="1" t="s">
        <v>103</v>
      </c>
      <c r="B87" s="1" t="s">
        <v>65</v>
      </c>
      <c r="C87" s="14">
        <v>20</v>
      </c>
      <c r="D87" s="14">
        <v>70</v>
      </c>
    </row>
    <row r="88" spans="1:4" ht="25" customHeight="1">
      <c r="A88" s="1" t="s">
        <v>103</v>
      </c>
      <c r="B88" s="1" t="s">
        <v>64</v>
      </c>
      <c r="C88" s="14">
        <v>20</v>
      </c>
      <c r="D88" s="14">
        <v>50.4</v>
      </c>
    </row>
    <row r="89" spans="1:4" ht="25" customHeight="1">
      <c r="A89" s="1" t="s">
        <v>103</v>
      </c>
      <c r="B89" s="1" t="s">
        <v>70</v>
      </c>
      <c r="C89" s="14">
        <v>40</v>
      </c>
      <c r="D89" s="14">
        <v>16.899999999999999</v>
      </c>
    </row>
    <row r="90" spans="1:4" ht="25" customHeight="1">
      <c r="A90" s="1" t="s">
        <v>103</v>
      </c>
      <c r="B90" s="1" t="s">
        <v>62</v>
      </c>
      <c r="C90" s="14">
        <v>40</v>
      </c>
      <c r="D90" s="14">
        <v>62.5</v>
      </c>
    </row>
    <row r="91" spans="1:4" ht="25" customHeight="1">
      <c r="A91" s="1" t="s">
        <v>103</v>
      </c>
      <c r="B91" s="1" t="s">
        <v>63</v>
      </c>
      <c r="C91" s="14">
        <v>40</v>
      </c>
      <c r="D91" s="14">
        <v>12.2</v>
      </c>
    </row>
    <row r="92" spans="1:4" ht="25" customHeight="1">
      <c r="A92" s="1" t="s">
        <v>105</v>
      </c>
      <c r="B92" s="1" t="s">
        <v>70</v>
      </c>
      <c r="C92" s="14">
        <v>40</v>
      </c>
      <c r="D92" s="14">
        <v>34.75</v>
      </c>
    </row>
    <row r="93" spans="1:4" ht="25" customHeight="1">
      <c r="A93" s="1" t="s">
        <v>105</v>
      </c>
      <c r="B93" s="1" t="s">
        <v>38</v>
      </c>
      <c r="C93" s="14">
        <v>20</v>
      </c>
      <c r="D93" s="14">
        <v>25.75</v>
      </c>
    </row>
    <row r="94" spans="1:4" ht="25" customHeight="1">
      <c r="A94" s="1" t="s">
        <v>105</v>
      </c>
      <c r="B94" s="1" t="s">
        <v>62</v>
      </c>
      <c r="C94" s="14">
        <v>20</v>
      </c>
      <c r="D94" s="14">
        <v>20.75</v>
      </c>
    </row>
    <row r="95" spans="1:4" ht="25" customHeight="1">
      <c r="A95" s="1" t="s">
        <v>105</v>
      </c>
      <c r="B95" s="1" t="s">
        <v>46</v>
      </c>
      <c r="C95" s="14">
        <v>20</v>
      </c>
      <c r="D95" s="14">
        <v>36.5</v>
      </c>
    </row>
    <row r="96" spans="1:4" ht="25" customHeight="1">
      <c r="A96" s="1" t="s">
        <v>105</v>
      </c>
      <c r="B96" s="1" t="s">
        <v>67</v>
      </c>
      <c r="C96" s="14">
        <v>40</v>
      </c>
      <c r="D96" s="14">
        <v>16.25</v>
      </c>
    </row>
    <row r="97" spans="1:4" ht="25" customHeight="1">
      <c r="A97" s="1" t="s">
        <v>105</v>
      </c>
      <c r="B97" s="1" t="s">
        <v>71</v>
      </c>
      <c r="C97" s="14">
        <v>20</v>
      </c>
      <c r="D97" s="14">
        <v>34</v>
      </c>
    </row>
    <row r="98" spans="1:4" ht="25" customHeight="1">
      <c r="A98" s="1" t="s">
        <v>105</v>
      </c>
      <c r="B98" s="1" t="s">
        <v>64</v>
      </c>
      <c r="C98" s="14">
        <v>40</v>
      </c>
      <c r="D98" s="14">
        <v>32</v>
      </c>
    </row>
    <row r="99" spans="1:4" ht="25" customHeight="1">
      <c r="A99" s="1" t="s">
        <v>107</v>
      </c>
      <c r="B99" s="1" t="s">
        <v>46</v>
      </c>
      <c r="C99" s="14">
        <v>60</v>
      </c>
      <c r="D99" s="14">
        <v>21.7</v>
      </c>
    </row>
    <row r="100" spans="1:4" ht="25" customHeight="1">
      <c r="A100" s="1" t="s">
        <v>107</v>
      </c>
      <c r="B100" s="1" t="s">
        <v>70</v>
      </c>
      <c r="C100" s="14">
        <v>80</v>
      </c>
      <c r="D100" s="14">
        <v>20</v>
      </c>
    </row>
    <row r="101" spans="1:4" ht="25" customHeight="1">
      <c r="A101" s="1" t="s">
        <v>107</v>
      </c>
      <c r="B101" s="1" t="s">
        <v>68</v>
      </c>
      <c r="C101" s="14">
        <v>25</v>
      </c>
      <c r="D101" s="14">
        <v>0</v>
      </c>
    </row>
    <row r="102" spans="1:4" ht="25" customHeight="1">
      <c r="A102" s="1" t="s">
        <v>107</v>
      </c>
      <c r="B102" s="1" t="s">
        <v>38</v>
      </c>
      <c r="C102" s="14">
        <v>40</v>
      </c>
      <c r="D102" s="14">
        <v>22</v>
      </c>
    </row>
    <row r="103" spans="1:4" ht="25" customHeight="1">
      <c r="A103" s="1" t="s">
        <v>107</v>
      </c>
      <c r="B103" s="1" t="s">
        <v>63</v>
      </c>
      <c r="C103" s="14">
        <v>40</v>
      </c>
      <c r="D103" s="14">
        <v>104.1</v>
      </c>
    </row>
    <row r="104" spans="1:4" ht="25" customHeight="1">
      <c r="A104" s="1" t="s">
        <v>107</v>
      </c>
      <c r="B104" s="1" t="s">
        <v>71</v>
      </c>
      <c r="C104" s="14">
        <v>60</v>
      </c>
      <c r="D104" s="14">
        <v>0</v>
      </c>
    </row>
    <row r="105" spans="1:4" ht="25" customHeight="1">
      <c r="A105" s="1" t="s">
        <v>107</v>
      </c>
      <c r="B105" s="1" t="s">
        <v>65</v>
      </c>
      <c r="C105" s="14">
        <v>20</v>
      </c>
      <c r="D105" s="14">
        <v>157.19999999999999</v>
      </c>
    </row>
    <row r="106" spans="1:4" ht="25" customHeight="1">
      <c r="A106" s="1" t="s">
        <v>156</v>
      </c>
      <c r="B106" s="1" t="s">
        <v>70</v>
      </c>
      <c r="C106" s="14">
        <v>20</v>
      </c>
      <c r="D106" s="14">
        <v>32.5</v>
      </c>
    </row>
    <row r="107" spans="1:4" ht="25" customHeight="1">
      <c r="A107" s="1" t="s">
        <v>156</v>
      </c>
      <c r="B107" s="1" t="s">
        <v>158</v>
      </c>
      <c r="C107" s="14">
        <v>40</v>
      </c>
      <c r="D107" s="14">
        <v>26.75</v>
      </c>
    </row>
    <row r="108" spans="1:4" ht="25" customHeight="1">
      <c r="A108" s="1" t="s">
        <v>156</v>
      </c>
      <c r="B108" s="1" t="s">
        <v>46</v>
      </c>
      <c r="C108" s="14">
        <v>30</v>
      </c>
      <c r="D108" s="14">
        <v>61.25</v>
      </c>
    </row>
    <row r="109" spans="1:4" ht="25" customHeight="1">
      <c r="A109" s="1" t="s">
        <v>156</v>
      </c>
      <c r="B109" s="1" t="s">
        <v>63</v>
      </c>
      <c r="C109" s="14">
        <v>20</v>
      </c>
      <c r="D109" s="14">
        <v>73.75</v>
      </c>
    </row>
    <row r="110" spans="1:4" ht="25" customHeight="1">
      <c r="A110" s="1" t="s">
        <v>156</v>
      </c>
      <c r="B110" s="1" t="s">
        <v>71</v>
      </c>
      <c r="C110" s="14">
        <v>20</v>
      </c>
      <c r="D110" s="14">
        <v>0</v>
      </c>
    </row>
    <row r="111" spans="1:4" ht="25" customHeight="1">
      <c r="A111" s="1" t="s">
        <v>156</v>
      </c>
      <c r="B111" s="1" t="s">
        <v>64</v>
      </c>
      <c r="C111" s="14">
        <v>20</v>
      </c>
      <c r="D111" s="14">
        <v>45</v>
      </c>
    </row>
    <row r="112" spans="1:4" ht="25" customHeight="1">
      <c r="A112" s="1" t="s">
        <v>156</v>
      </c>
      <c r="B112" s="1" t="s">
        <v>68</v>
      </c>
      <c r="C112" s="14">
        <v>20</v>
      </c>
      <c r="D112" s="14">
        <v>0</v>
      </c>
    </row>
    <row r="113" spans="1:4" ht="25" customHeight="1">
      <c r="A113" s="1" t="s">
        <v>156</v>
      </c>
      <c r="B113" s="1" t="s">
        <v>115</v>
      </c>
      <c r="C113" s="14">
        <v>20</v>
      </c>
      <c r="D113" s="14">
        <v>0</v>
      </c>
    </row>
    <row r="114" spans="1:4" ht="25" customHeight="1">
      <c r="A114" s="1" t="s">
        <v>156</v>
      </c>
      <c r="B114" s="1" t="s">
        <v>62</v>
      </c>
      <c r="C114" s="14">
        <v>50</v>
      </c>
      <c r="D114" s="14">
        <v>33.75</v>
      </c>
    </row>
    <row r="115" spans="1:4" ht="25" customHeight="1">
      <c r="A115" s="1" t="s">
        <v>156</v>
      </c>
      <c r="B115" s="1" t="s">
        <v>65</v>
      </c>
      <c r="C115" s="14">
        <v>20</v>
      </c>
      <c r="D115" s="14">
        <v>0</v>
      </c>
    </row>
    <row r="116" spans="1:4" ht="25" customHeight="1">
      <c r="A116" s="1" t="s">
        <v>156</v>
      </c>
      <c r="B116" s="1" t="s">
        <v>38</v>
      </c>
      <c r="C116" s="14">
        <v>40</v>
      </c>
      <c r="D116" s="14">
        <v>20.5</v>
      </c>
    </row>
    <row r="117" spans="1:4" ht="25" customHeight="1">
      <c r="A117" s="1" t="s">
        <v>156</v>
      </c>
      <c r="B117" s="1" t="s">
        <v>67</v>
      </c>
      <c r="C117" s="14">
        <v>20</v>
      </c>
      <c r="D117" s="14">
        <v>26.5</v>
      </c>
    </row>
    <row r="118" spans="1:4" ht="25" customHeight="1">
      <c r="A118" s="1" t="s">
        <v>159</v>
      </c>
      <c r="B118" s="1" t="s">
        <v>46</v>
      </c>
      <c r="C118" s="14">
        <v>20</v>
      </c>
      <c r="D118" s="14">
        <v>40.5</v>
      </c>
    </row>
    <row r="119" spans="1:4" ht="25" customHeight="1">
      <c r="A119" s="1" t="s">
        <v>159</v>
      </c>
      <c r="B119" s="1" t="s">
        <v>67</v>
      </c>
      <c r="C119" s="14">
        <v>20</v>
      </c>
      <c r="D119" s="14">
        <v>63</v>
      </c>
    </row>
    <row r="120" spans="1:4" ht="25" customHeight="1">
      <c r="A120" s="1" t="s">
        <v>159</v>
      </c>
      <c r="B120" s="1" t="s">
        <v>65</v>
      </c>
      <c r="C120" s="14">
        <v>40</v>
      </c>
      <c r="D120" s="14">
        <v>51.75</v>
      </c>
    </row>
    <row r="121" spans="1:4" ht="25" customHeight="1">
      <c r="A121" s="1" t="s">
        <v>159</v>
      </c>
      <c r="B121" s="1" t="s">
        <v>62</v>
      </c>
      <c r="C121" s="14">
        <v>70</v>
      </c>
      <c r="D121" s="14">
        <v>0</v>
      </c>
    </row>
    <row r="122" spans="1:4" ht="25" customHeight="1">
      <c r="A122" s="1" t="s">
        <v>159</v>
      </c>
      <c r="B122" s="1" t="s">
        <v>70</v>
      </c>
      <c r="C122" s="14">
        <v>60</v>
      </c>
      <c r="D122" s="14">
        <v>43</v>
      </c>
    </row>
    <row r="123" spans="1:4" ht="25" customHeight="1">
      <c r="A123" s="1" t="s">
        <v>159</v>
      </c>
      <c r="B123" s="1" t="s">
        <v>63</v>
      </c>
      <c r="C123" s="14">
        <v>40</v>
      </c>
      <c r="D123" s="14">
        <v>33</v>
      </c>
    </row>
    <row r="124" spans="1:4" ht="25" customHeight="1">
      <c r="A124" s="1" t="s">
        <v>159</v>
      </c>
      <c r="B124" s="1" t="s">
        <v>71</v>
      </c>
      <c r="C124" s="14">
        <v>20</v>
      </c>
      <c r="D124" s="14">
        <v>38.75</v>
      </c>
    </row>
    <row r="125" spans="1:4" ht="25" customHeight="1">
      <c r="A125" s="1" t="s">
        <v>161</v>
      </c>
      <c r="B125" s="1" t="s">
        <v>70</v>
      </c>
      <c r="C125" s="14">
        <v>40</v>
      </c>
      <c r="D125" s="14">
        <v>36.1</v>
      </c>
    </row>
    <row r="126" spans="1:4" ht="25" customHeight="1">
      <c r="A126" s="1" t="s">
        <v>161</v>
      </c>
      <c r="B126" s="1" t="s">
        <v>65</v>
      </c>
      <c r="C126" s="14">
        <v>40</v>
      </c>
      <c r="D126" s="14">
        <v>18.8</v>
      </c>
    </row>
    <row r="127" spans="1:4" ht="25" customHeight="1">
      <c r="A127" s="1" t="s">
        <v>161</v>
      </c>
      <c r="B127" s="1" t="s">
        <v>169</v>
      </c>
      <c r="C127" s="14">
        <v>40</v>
      </c>
      <c r="D127" s="14">
        <v>21.1</v>
      </c>
    </row>
    <row r="128" spans="1:4" ht="25" customHeight="1">
      <c r="A128" s="1" t="s">
        <v>161</v>
      </c>
      <c r="B128" s="1" t="s">
        <v>63</v>
      </c>
      <c r="C128" s="14">
        <v>20</v>
      </c>
      <c r="D128" s="14">
        <v>0</v>
      </c>
    </row>
    <row r="129" spans="1:4" ht="25" customHeight="1">
      <c r="A129" s="1" t="s">
        <v>161</v>
      </c>
      <c r="B129" s="1" t="s">
        <v>71</v>
      </c>
      <c r="C129" s="14">
        <v>20</v>
      </c>
      <c r="D129" s="14">
        <v>84</v>
      </c>
    </row>
    <row r="130" spans="1:4" ht="25" customHeight="1">
      <c r="A130" s="1" t="s">
        <v>162</v>
      </c>
      <c r="B130" s="1" t="s">
        <v>70</v>
      </c>
      <c r="C130" s="14">
        <v>20</v>
      </c>
      <c r="D130" s="14">
        <v>30.2</v>
      </c>
    </row>
    <row r="131" spans="1:4" ht="25" customHeight="1">
      <c r="A131" s="1" t="s">
        <v>162</v>
      </c>
      <c r="B131" s="1" t="s">
        <v>38</v>
      </c>
      <c r="C131" s="14">
        <v>20</v>
      </c>
      <c r="D131" s="14">
        <v>18.2</v>
      </c>
    </row>
    <row r="132" spans="1:4" ht="25" customHeight="1">
      <c r="A132" s="1" t="s">
        <v>162</v>
      </c>
      <c r="B132" s="1" t="s">
        <v>67</v>
      </c>
      <c r="C132" s="14">
        <v>20</v>
      </c>
      <c r="D132" s="14">
        <v>26.7</v>
      </c>
    </row>
    <row r="133" spans="1:4" ht="25" customHeight="1">
      <c r="A133" s="1" t="s">
        <v>162</v>
      </c>
      <c r="B133" s="1" t="s">
        <v>64</v>
      </c>
      <c r="C133" s="14">
        <v>20</v>
      </c>
      <c r="D133" s="14">
        <v>24.9</v>
      </c>
    </row>
    <row r="134" spans="1:4" ht="25" customHeight="1">
      <c r="A134" s="1" t="s">
        <v>162</v>
      </c>
      <c r="B134" s="1" t="s">
        <v>62</v>
      </c>
      <c r="C134" s="14">
        <v>20</v>
      </c>
      <c r="D134" s="14">
        <v>12.9</v>
      </c>
    </row>
    <row r="135" spans="1:4" ht="25" customHeight="1">
      <c r="A135" s="1" t="s">
        <v>162</v>
      </c>
      <c r="B135" s="1" t="s">
        <v>63</v>
      </c>
      <c r="C135" s="14">
        <v>20</v>
      </c>
      <c r="D135" s="14">
        <v>7.1</v>
      </c>
    </row>
    <row r="136" spans="1:4" ht="25" customHeight="1">
      <c r="A136" s="1" t="s">
        <v>165</v>
      </c>
      <c r="B136" s="1" t="s">
        <v>38</v>
      </c>
      <c r="C136" s="14">
        <v>20</v>
      </c>
      <c r="D136" s="14">
        <v>23.8</v>
      </c>
    </row>
    <row r="137" spans="1:4" ht="25" customHeight="1">
      <c r="A137" s="1" t="s">
        <v>165</v>
      </c>
      <c r="B137" s="1" t="s">
        <v>80</v>
      </c>
      <c r="C137" s="14">
        <v>20</v>
      </c>
      <c r="D137" s="14">
        <v>23.6</v>
      </c>
    </row>
    <row r="138" spans="1:4" ht="25" customHeight="1">
      <c r="A138" s="1" t="s">
        <v>165</v>
      </c>
      <c r="B138" s="1" t="s">
        <v>63</v>
      </c>
      <c r="C138" s="14">
        <v>20</v>
      </c>
      <c r="D138" s="14">
        <v>62.4</v>
      </c>
    </row>
    <row r="139" spans="1:4" ht="25" customHeight="1">
      <c r="A139" s="1" t="s">
        <v>165</v>
      </c>
      <c r="B139" s="1" t="s">
        <v>74</v>
      </c>
      <c r="C139" s="14">
        <v>40</v>
      </c>
      <c r="D139" s="14">
        <v>76.5</v>
      </c>
    </row>
    <row r="140" spans="1:4" ht="25" customHeight="1">
      <c r="A140" s="1" t="s">
        <v>165</v>
      </c>
      <c r="B140" s="1" t="s">
        <v>70</v>
      </c>
      <c r="C140" s="14">
        <v>80</v>
      </c>
      <c r="D140" s="14">
        <v>51.5</v>
      </c>
    </row>
    <row r="141" spans="1:4" ht="25" customHeight="1">
      <c r="A141" s="1" t="s">
        <v>165</v>
      </c>
      <c r="B141" s="1" t="s">
        <v>72</v>
      </c>
      <c r="C141" s="14">
        <v>40</v>
      </c>
      <c r="D141" s="14">
        <v>22.2</v>
      </c>
    </row>
    <row r="142" spans="1:4" ht="25" customHeight="1">
      <c r="A142" s="1" t="s">
        <v>165</v>
      </c>
      <c r="B142" s="1" t="s">
        <v>46</v>
      </c>
      <c r="C142" s="14">
        <v>20</v>
      </c>
      <c r="D142" s="14">
        <v>0</v>
      </c>
    </row>
    <row r="143" spans="1:4" ht="25" customHeight="1">
      <c r="A143" s="1" t="s">
        <v>165</v>
      </c>
      <c r="B143" s="1" t="s">
        <v>71</v>
      </c>
      <c r="C143" s="14">
        <v>20</v>
      </c>
      <c r="D143" s="14">
        <v>0</v>
      </c>
    </row>
    <row r="144" spans="1:4" ht="25" customHeight="1">
      <c r="A144" s="1" t="s">
        <v>167</v>
      </c>
      <c r="B144" s="1" t="s">
        <v>46</v>
      </c>
      <c r="C144" s="14">
        <v>20</v>
      </c>
      <c r="D144" s="14">
        <v>83.5</v>
      </c>
    </row>
    <row r="145" spans="1:4" ht="25" customHeight="1">
      <c r="A145" s="1" t="s">
        <v>167</v>
      </c>
      <c r="B145" s="1" t="s">
        <v>67</v>
      </c>
      <c r="C145" s="14">
        <v>20</v>
      </c>
      <c r="D145" s="14">
        <v>44.75</v>
      </c>
    </row>
    <row r="146" spans="1:4" ht="25" customHeight="1">
      <c r="A146" s="1" t="s">
        <v>167</v>
      </c>
      <c r="B146" s="1" t="s">
        <v>62</v>
      </c>
      <c r="C146" s="14">
        <v>40</v>
      </c>
      <c r="D146" s="14">
        <v>0</v>
      </c>
    </row>
    <row r="147" spans="1:4" ht="25" customHeight="1">
      <c r="A147" s="1" t="s">
        <v>167</v>
      </c>
      <c r="B147" s="1" t="s">
        <v>65</v>
      </c>
      <c r="C147" s="14">
        <v>50</v>
      </c>
      <c r="D147" s="14">
        <v>20</v>
      </c>
    </row>
    <row r="148" spans="1:4" ht="25" customHeight="1">
      <c r="A148" s="1" t="s">
        <v>167</v>
      </c>
      <c r="B148" s="1" t="s">
        <v>38</v>
      </c>
      <c r="C148" s="14">
        <v>20</v>
      </c>
      <c r="D148" s="14">
        <v>50.5</v>
      </c>
    </row>
    <row r="149" spans="1:4" ht="25" customHeight="1">
      <c r="A149" s="1" t="s">
        <v>167</v>
      </c>
      <c r="B149" s="1" t="s">
        <v>68</v>
      </c>
      <c r="C149" s="14">
        <v>20</v>
      </c>
      <c r="D149" s="14">
        <v>0</v>
      </c>
    </row>
    <row r="150" spans="1:4" ht="25" customHeight="1">
      <c r="A150" s="1" t="s">
        <v>167</v>
      </c>
      <c r="B150" s="1" t="s">
        <v>71</v>
      </c>
      <c r="C150" s="14">
        <v>20</v>
      </c>
      <c r="D150" s="14">
        <v>0</v>
      </c>
    </row>
    <row r="151" spans="1:4" ht="25" customHeight="1">
      <c r="A151" s="1" t="s">
        <v>167</v>
      </c>
      <c r="B151" s="1" t="s">
        <v>63</v>
      </c>
      <c r="C151" s="14">
        <v>40</v>
      </c>
      <c r="D151" s="14">
        <v>24.75</v>
      </c>
    </row>
    <row r="152" spans="1:4" ht="25" customHeight="1">
      <c r="A152" s="1" t="s">
        <v>167</v>
      </c>
      <c r="B152" s="1" t="s">
        <v>70</v>
      </c>
      <c r="C152" s="14">
        <v>20</v>
      </c>
      <c r="D152" s="14">
        <v>11.5</v>
      </c>
    </row>
    <row r="153" spans="1:4" ht="25" customHeight="1">
      <c r="A153" s="1" t="s">
        <v>167</v>
      </c>
      <c r="B153" s="1" t="s">
        <v>64</v>
      </c>
      <c r="C153" s="14">
        <v>20</v>
      </c>
      <c r="D153" s="14">
        <v>35</v>
      </c>
    </row>
    <row r="154" spans="1:4" ht="25" customHeight="1">
      <c r="A154" s="1" t="s">
        <v>170</v>
      </c>
      <c r="B154" s="1" t="s">
        <v>64</v>
      </c>
      <c r="C154" s="14">
        <v>20</v>
      </c>
      <c r="D154" s="14">
        <v>40</v>
      </c>
    </row>
    <row r="155" spans="1:4" ht="25" customHeight="1">
      <c r="A155" s="1" t="s">
        <v>170</v>
      </c>
      <c r="B155" s="1" t="s">
        <v>70</v>
      </c>
      <c r="C155" s="14">
        <v>40</v>
      </c>
      <c r="D155" s="14">
        <v>41.6</v>
      </c>
    </row>
    <row r="156" spans="1:4" ht="25" customHeight="1">
      <c r="A156" s="1" t="s">
        <v>170</v>
      </c>
      <c r="B156" s="1" t="s">
        <v>71</v>
      </c>
      <c r="C156" s="14">
        <v>20</v>
      </c>
      <c r="D156" s="14">
        <v>9.6</v>
      </c>
    </row>
    <row r="157" spans="1:4" ht="25" customHeight="1">
      <c r="A157" s="1" t="s">
        <v>170</v>
      </c>
      <c r="B157" s="1" t="s">
        <v>65</v>
      </c>
      <c r="C157" s="14">
        <v>40</v>
      </c>
      <c r="D157" s="14">
        <v>45.8</v>
      </c>
    </row>
    <row r="158" spans="1:4" ht="25" customHeight="1">
      <c r="A158" s="1" t="s">
        <v>170</v>
      </c>
      <c r="B158" s="1" t="s">
        <v>72</v>
      </c>
      <c r="C158" s="14">
        <v>20</v>
      </c>
      <c r="D158" s="14">
        <v>0</v>
      </c>
    </row>
    <row r="159" spans="1:4" ht="25" customHeight="1">
      <c r="A159" s="1" t="s">
        <v>170</v>
      </c>
      <c r="B159" s="1" t="s">
        <v>67</v>
      </c>
      <c r="C159" s="14">
        <v>40</v>
      </c>
      <c r="D159" s="14">
        <v>28.5</v>
      </c>
    </row>
    <row r="160" spans="1:4" ht="25" customHeight="1">
      <c r="A160" s="1" t="s">
        <v>170</v>
      </c>
      <c r="B160" s="1" t="s">
        <v>68</v>
      </c>
      <c r="C160" s="14">
        <v>20</v>
      </c>
      <c r="D160" s="14">
        <v>0</v>
      </c>
    </row>
    <row r="161" spans="1:4" ht="25" customHeight="1">
      <c r="A161" s="1" t="s">
        <v>170</v>
      </c>
      <c r="B161" s="1" t="s">
        <v>38</v>
      </c>
      <c r="C161" s="14">
        <v>20</v>
      </c>
      <c r="D161" s="14">
        <v>21.9</v>
      </c>
    </row>
    <row r="162" spans="1:4" ht="25" customHeight="1">
      <c r="A162" s="1" t="s">
        <v>170</v>
      </c>
      <c r="B162" s="1" t="s">
        <v>63</v>
      </c>
      <c r="C162" s="14">
        <v>20</v>
      </c>
      <c r="D162" s="14">
        <v>51.6</v>
      </c>
    </row>
  </sheetData>
  <mergeCells count="3">
    <mergeCell ref="A1:D1"/>
    <mergeCell ref="A2:D2"/>
    <mergeCell ref="A3:D3"/>
  </mergeCells>
  <dataValidations count="2">
    <dataValidation type="whole" sqref="C5:C458" xr:uid="{00000000-0002-0000-0400-000000000000}">
      <formula1>1</formula1>
      <formula2>1000000</formula2>
    </dataValidation>
    <dataValidation type="whole" sqref="D5:D458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>
      <selection sqref="A1:E1"/>
    </sheetView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79" t="s">
        <v>117</v>
      </c>
      <c r="B1" s="79" t="s">
        <v>117</v>
      </c>
      <c r="C1" s="79" t="s">
        <v>117</v>
      </c>
      <c r="D1" s="79" t="s">
        <v>117</v>
      </c>
      <c r="E1" s="79" t="s">
        <v>117</v>
      </c>
    </row>
    <row r="2" spans="1:5" ht="24" customHeight="1">
      <c r="A2" s="80" t="s">
        <v>118</v>
      </c>
      <c r="B2" s="80" t="s">
        <v>118</v>
      </c>
      <c r="C2" s="80" t="s">
        <v>118</v>
      </c>
      <c r="D2" s="80" t="s">
        <v>118</v>
      </c>
      <c r="E2" s="80" t="s">
        <v>118</v>
      </c>
    </row>
    <row r="3" spans="1:5" ht="24" customHeight="1">
      <c r="A3" s="81" t="s">
        <v>119</v>
      </c>
      <c r="B3" s="81" t="s">
        <v>119</v>
      </c>
      <c r="C3" s="81" t="s">
        <v>119</v>
      </c>
      <c r="D3" s="81" t="s">
        <v>119</v>
      </c>
      <c r="E3" s="81" t="s">
        <v>119</v>
      </c>
    </row>
    <row r="4" spans="1:5" ht="17">
      <c r="A4" s="36" t="s">
        <v>120</v>
      </c>
      <c r="B4" s="36" t="s">
        <v>121</v>
      </c>
      <c r="C4" s="36" t="s">
        <v>122</v>
      </c>
      <c r="D4" s="36" t="s">
        <v>123</v>
      </c>
      <c r="E4" s="36" t="s">
        <v>124</v>
      </c>
    </row>
    <row r="5" spans="1:5" ht="30">
      <c r="A5" s="13" t="s">
        <v>40</v>
      </c>
      <c r="B5" t="s">
        <v>125</v>
      </c>
      <c r="C5" s="37" t="s">
        <v>126</v>
      </c>
      <c r="D5" t="s">
        <v>127</v>
      </c>
      <c r="E5" s="38">
        <v>3</v>
      </c>
    </row>
    <row r="6" spans="1:5" ht="16">
      <c r="A6" s="6" t="s">
        <v>36</v>
      </c>
      <c r="B6" t="s">
        <v>128</v>
      </c>
      <c r="C6" t="s">
        <v>129</v>
      </c>
      <c r="D6" t="s">
        <v>127</v>
      </c>
      <c r="E6">
        <v>2</v>
      </c>
    </row>
    <row r="7" spans="1:5" ht="16">
      <c r="A7" s="13" t="s">
        <v>42</v>
      </c>
      <c r="B7" t="s">
        <v>130</v>
      </c>
      <c r="C7" t="s">
        <v>131</v>
      </c>
      <c r="D7" t="s">
        <v>127</v>
      </c>
      <c r="E7">
        <v>1</v>
      </c>
    </row>
    <row r="8" spans="1:5" ht="16">
      <c r="A8" s="60" t="s">
        <v>44</v>
      </c>
      <c r="B8" t="s">
        <v>132</v>
      </c>
      <c r="D8" t="s">
        <v>133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selection activeCell="C7" sqref="C7"/>
    </sheetView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79" t="s">
        <v>134</v>
      </c>
      <c r="B1" s="79" t="s">
        <v>134</v>
      </c>
      <c r="C1" s="79" t="s">
        <v>134</v>
      </c>
      <c r="D1" s="79" t="s">
        <v>134</v>
      </c>
      <c r="E1" s="79" t="s">
        <v>134</v>
      </c>
      <c r="F1" s="79" t="s">
        <v>134</v>
      </c>
      <c r="G1" s="79" t="s">
        <v>134</v>
      </c>
    </row>
    <row r="2" spans="1:7" ht="24" customHeight="1">
      <c r="A2" s="80" t="s">
        <v>135</v>
      </c>
      <c r="B2" s="80" t="s">
        <v>135</v>
      </c>
      <c r="C2" s="80" t="s">
        <v>135</v>
      </c>
      <c r="D2" s="80" t="s">
        <v>135</v>
      </c>
      <c r="E2" s="80" t="s">
        <v>135</v>
      </c>
      <c r="F2" s="80" t="s">
        <v>135</v>
      </c>
      <c r="G2" s="80" t="s">
        <v>135</v>
      </c>
    </row>
    <row r="3" spans="1:7" ht="24" customHeight="1">
      <c r="A3" s="81" t="s">
        <v>136</v>
      </c>
      <c r="B3" s="81" t="s">
        <v>136</v>
      </c>
      <c r="C3" s="81" t="s">
        <v>136</v>
      </c>
      <c r="D3" s="81" t="s">
        <v>136</v>
      </c>
      <c r="E3" s="81" t="s">
        <v>136</v>
      </c>
      <c r="F3" s="81" t="s">
        <v>136</v>
      </c>
      <c r="G3" s="81" t="s">
        <v>136</v>
      </c>
    </row>
    <row r="4" spans="1:7" ht="17">
      <c r="A4" s="36" t="s">
        <v>137</v>
      </c>
      <c r="B4" s="36" t="s">
        <v>30</v>
      </c>
      <c r="C4" s="36" t="s">
        <v>29</v>
      </c>
      <c r="D4" s="36" t="s">
        <v>138</v>
      </c>
      <c r="E4" s="36" t="s">
        <v>120</v>
      </c>
      <c r="F4" s="36" t="s">
        <v>139</v>
      </c>
      <c r="G4" s="36" t="s">
        <v>140</v>
      </c>
    </row>
    <row r="5" spans="1:7" ht="51">
      <c r="A5" s="1" t="s">
        <v>141</v>
      </c>
      <c r="B5" s="58">
        <v>46243</v>
      </c>
      <c r="C5" s="56" t="s">
        <v>155</v>
      </c>
      <c r="D5" s="56" t="s">
        <v>142</v>
      </c>
      <c r="E5" s="1" t="s">
        <v>44</v>
      </c>
      <c r="F5" s="58">
        <v>46305</v>
      </c>
      <c r="G5" s="1" t="s">
        <v>127</v>
      </c>
    </row>
    <row r="6" spans="1:7">
      <c r="A6" s="1" t="s">
        <v>143</v>
      </c>
      <c r="B6" s="59">
        <v>46236</v>
      </c>
      <c r="C6" s="1" t="s">
        <v>144</v>
      </c>
      <c r="D6" s="1" t="s">
        <v>145</v>
      </c>
      <c r="E6" s="57" t="s">
        <v>40</v>
      </c>
    </row>
    <row r="7" spans="1:7">
      <c r="A7" s="1" t="s">
        <v>146</v>
      </c>
      <c r="B7" s="59">
        <v>46236</v>
      </c>
      <c r="C7" s="1" t="s">
        <v>144</v>
      </c>
      <c r="D7" s="1" t="s">
        <v>145</v>
      </c>
      <c r="E7" s="57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8"/>
  <sheetViews>
    <sheetView showGridLines="0" workbookViewId="0">
      <selection activeCell="E31" sqref="E31"/>
    </sheetView>
  </sheetViews>
  <sheetFormatPr baseColWidth="10" defaultColWidth="8.83203125" defaultRowHeight="14"/>
  <cols>
    <col min="1" max="1" width="30" customWidth="1"/>
    <col min="2" max="2" width="12" customWidth="1"/>
    <col min="3" max="3" width="18" customWidth="1"/>
    <col min="4" max="5" width="15" customWidth="1"/>
  </cols>
  <sheetData>
    <row r="1" spans="1:5" ht="30" customHeight="1">
      <c r="A1" s="85" t="s">
        <v>147</v>
      </c>
      <c r="B1" s="85"/>
      <c r="C1" s="85"/>
      <c r="D1" s="85"/>
      <c r="E1" s="85"/>
    </row>
    <row r="2" spans="1:5" ht="28" customHeight="1">
      <c r="A2" s="86" t="s">
        <v>148</v>
      </c>
      <c r="B2" s="86"/>
      <c r="C2" s="86"/>
      <c r="D2" s="86"/>
      <c r="E2" s="86"/>
    </row>
    <row r="3" spans="1:5" ht="28" customHeight="1">
      <c r="A3" s="87" t="s">
        <v>149</v>
      </c>
      <c r="B3" s="87"/>
      <c r="C3" s="87"/>
      <c r="D3" s="87"/>
      <c r="E3" s="87"/>
    </row>
    <row r="4" spans="1:5">
      <c r="A4" s="66" t="s">
        <v>27</v>
      </c>
      <c r="B4" s="66" t="s">
        <v>150</v>
      </c>
      <c r="C4" s="66" t="s">
        <v>151</v>
      </c>
      <c r="D4" s="66" t="s">
        <v>152</v>
      </c>
      <c r="E4" s="66" t="s">
        <v>153</v>
      </c>
    </row>
    <row r="5" spans="1:5" ht="16">
      <c r="A5" s="13" t="s">
        <v>42</v>
      </c>
      <c r="B5" s="66">
        <v>1</v>
      </c>
      <c r="C5" s="66">
        <v>20</v>
      </c>
      <c r="D5" s="67">
        <v>0.1</v>
      </c>
      <c r="E5" s="67">
        <v>0.2</v>
      </c>
    </row>
    <row r="6" spans="1:5" ht="16">
      <c r="A6" s="13" t="s">
        <v>42</v>
      </c>
      <c r="B6">
        <v>2</v>
      </c>
      <c r="C6">
        <v>20</v>
      </c>
      <c r="D6">
        <v>0.2</v>
      </c>
      <c r="E6">
        <v>0.4</v>
      </c>
    </row>
    <row r="7" spans="1:5" ht="16">
      <c r="A7" s="13" t="s">
        <v>42</v>
      </c>
      <c r="B7">
        <v>3</v>
      </c>
      <c r="C7">
        <v>20</v>
      </c>
      <c r="D7">
        <v>0.3</v>
      </c>
      <c r="E7">
        <v>0.6</v>
      </c>
    </row>
    <row r="8" spans="1:5" ht="16">
      <c r="A8" s="13" t="s">
        <v>42</v>
      </c>
      <c r="B8" t="s">
        <v>154</v>
      </c>
      <c r="C8">
        <v>5</v>
      </c>
    </row>
    <row r="9" spans="1:5" ht="16">
      <c r="A9" s="13" t="s">
        <v>42</v>
      </c>
      <c r="B9">
        <v>4</v>
      </c>
      <c r="C9">
        <v>20</v>
      </c>
      <c r="D9">
        <v>0.4</v>
      </c>
      <c r="E9">
        <v>0.8</v>
      </c>
    </row>
    <row r="10" spans="1:5" ht="16">
      <c r="A10" s="13" t="s">
        <v>42</v>
      </c>
      <c r="B10">
        <v>5</v>
      </c>
      <c r="C10">
        <v>20</v>
      </c>
      <c r="D10">
        <v>0.5</v>
      </c>
      <c r="E10">
        <v>1</v>
      </c>
    </row>
    <row r="11" spans="1:5" ht="16">
      <c r="A11" s="13" t="s">
        <v>42</v>
      </c>
      <c r="B11" t="s">
        <v>154</v>
      </c>
      <c r="C11">
        <v>15</v>
      </c>
    </row>
    <row r="12" spans="1:5" ht="16">
      <c r="A12" s="13" t="s">
        <v>42</v>
      </c>
      <c r="B12">
        <v>6</v>
      </c>
      <c r="C12">
        <v>20</v>
      </c>
      <c r="D12">
        <v>0.7</v>
      </c>
      <c r="E12">
        <v>1.4</v>
      </c>
    </row>
    <row r="13" spans="1:5" ht="16">
      <c r="A13" s="13" t="s">
        <v>42</v>
      </c>
      <c r="B13">
        <v>7</v>
      </c>
      <c r="C13">
        <v>20</v>
      </c>
      <c r="D13">
        <v>0.9</v>
      </c>
      <c r="E13">
        <v>1.8</v>
      </c>
    </row>
    <row r="14" spans="1:5" ht="16">
      <c r="A14" s="13" t="s">
        <v>42</v>
      </c>
      <c r="B14">
        <v>8</v>
      </c>
      <c r="C14">
        <v>20</v>
      </c>
      <c r="D14">
        <v>1</v>
      </c>
      <c r="E14">
        <v>2</v>
      </c>
    </row>
    <row r="15" spans="1:5" ht="16">
      <c r="A15" s="13" t="s">
        <v>42</v>
      </c>
      <c r="B15">
        <v>9</v>
      </c>
      <c r="C15">
        <v>20</v>
      </c>
      <c r="D15">
        <v>1.5</v>
      </c>
      <c r="E15">
        <v>3</v>
      </c>
    </row>
    <row r="16" spans="1:5" ht="16">
      <c r="A16" s="13" t="s">
        <v>42</v>
      </c>
      <c r="B16">
        <v>10</v>
      </c>
      <c r="C16">
        <v>20</v>
      </c>
      <c r="D16">
        <v>2</v>
      </c>
      <c r="E16">
        <v>4</v>
      </c>
    </row>
    <row r="17" spans="1:5" ht="16">
      <c r="A17" s="13" t="s">
        <v>42</v>
      </c>
      <c r="B17">
        <v>11</v>
      </c>
      <c r="C17">
        <v>20</v>
      </c>
      <c r="D17">
        <v>2.5</v>
      </c>
      <c r="E17">
        <v>5</v>
      </c>
    </row>
    <row r="18" spans="1:5" ht="16">
      <c r="A18" s="13" t="s">
        <v>42</v>
      </c>
      <c r="B18" t="s">
        <v>154</v>
      </c>
      <c r="C18">
        <v>10</v>
      </c>
    </row>
    <row r="19" spans="1:5" ht="16">
      <c r="A19" s="13" t="s">
        <v>42</v>
      </c>
      <c r="B19">
        <v>12</v>
      </c>
      <c r="C19">
        <v>15</v>
      </c>
      <c r="D19">
        <v>3</v>
      </c>
      <c r="E19">
        <v>6</v>
      </c>
    </row>
    <row r="20" spans="1:5" ht="16">
      <c r="A20" s="13" t="s">
        <v>42</v>
      </c>
      <c r="B20">
        <v>13</v>
      </c>
      <c r="C20">
        <v>15</v>
      </c>
      <c r="D20">
        <v>4</v>
      </c>
      <c r="E20">
        <v>8</v>
      </c>
    </row>
    <row r="21" spans="1:5" ht="16">
      <c r="A21" s="13" t="s">
        <v>42</v>
      </c>
      <c r="B21">
        <v>14</v>
      </c>
      <c r="C21">
        <v>15</v>
      </c>
      <c r="D21">
        <v>5</v>
      </c>
      <c r="E21">
        <v>10</v>
      </c>
    </row>
    <row r="22" spans="1:5" ht="16">
      <c r="A22" s="13" t="s">
        <v>44</v>
      </c>
      <c r="B22">
        <v>1</v>
      </c>
      <c r="C22">
        <v>20</v>
      </c>
      <c r="D22">
        <v>0.25</v>
      </c>
      <c r="E22">
        <v>0.5</v>
      </c>
    </row>
    <row r="23" spans="1:5" ht="16">
      <c r="A23" s="13" t="s">
        <v>44</v>
      </c>
      <c r="B23">
        <v>2</v>
      </c>
      <c r="C23">
        <v>20</v>
      </c>
      <c r="D23">
        <v>0.5</v>
      </c>
      <c r="E23">
        <v>1</v>
      </c>
    </row>
    <row r="24" spans="1:5" ht="16">
      <c r="A24" s="13" t="s">
        <v>44</v>
      </c>
      <c r="B24">
        <v>3</v>
      </c>
      <c r="C24">
        <v>20</v>
      </c>
      <c r="D24">
        <v>0.75</v>
      </c>
      <c r="E24">
        <v>1.5</v>
      </c>
    </row>
    <row r="25" spans="1:5" ht="16">
      <c r="A25" s="13" t="s">
        <v>44</v>
      </c>
      <c r="B25" t="s">
        <v>154</v>
      </c>
      <c r="C25">
        <v>5</v>
      </c>
    </row>
    <row r="26" spans="1:5" ht="16">
      <c r="A26" s="13" t="s">
        <v>44</v>
      </c>
      <c r="B26">
        <v>4</v>
      </c>
      <c r="C26">
        <v>20</v>
      </c>
      <c r="D26">
        <v>1</v>
      </c>
      <c r="E26">
        <v>2</v>
      </c>
    </row>
    <row r="27" spans="1:5" ht="16">
      <c r="A27" s="13" t="s">
        <v>44</v>
      </c>
      <c r="B27">
        <v>5</v>
      </c>
      <c r="C27">
        <v>20</v>
      </c>
      <c r="D27">
        <v>1.25</v>
      </c>
      <c r="E27">
        <v>2.5</v>
      </c>
    </row>
    <row r="28" spans="1:5" ht="16">
      <c r="A28" s="13" t="s">
        <v>44</v>
      </c>
      <c r="B28">
        <v>6</v>
      </c>
      <c r="C28">
        <v>20</v>
      </c>
      <c r="D28">
        <v>1.5</v>
      </c>
      <c r="E28">
        <v>3</v>
      </c>
    </row>
    <row r="29" spans="1:5" ht="16">
      <c r="A29" s="13" t="s">
        <v>44</v>
      </c>
      <c r="B29" t="s">
        <v>154</v>
      </c>
      <c r="C29">
        <v>10</v>
      </c>
    </row>
    <row r="30" spans="1:5" ht="16">
      <c r="A30" s="13" t="s">
        <v>44</v>
      </c>
      <c r="B30">
        <v>7</v>
      </c>
      <c r="C30">
        <v>15</v>
      </c>
      <c r="D30">
        <v>2</v>
      </c>
      <c r="E30">
        <v>4</v>
      </c>
    </row>
    <row r="31" spans="1:5" ht="16">
      <c r="A31" s="13" t="s">
        <v>44</v>
      </c>
      <c r="B31">
        <v>8</v>
      </c>
      <c r="C31">
        <v>15</v>
      </c>
      <c r="D31">
        <v>3</v>
      </c>
      <c r="E31">
        <v>6</v>
      </c>
    </row>
    <row r="32" spans="1:5" ht="16">
      <c r="A32" s="13" t="s">
        <v>44</v>
      </c>
      <c r="B32">
        <v>9</v>
      </c>
      <c r="C32">
        <v>15</v>
      </c>
      <c r="D32">
        <v>4</v>
      </c>
      <c r="E32">
        <v>8</v>
      </c>
    </row>
    <row r="33" spans="1:5" ht="16">
      <c r="A33" s="13" t="s">
        <v>44</v>
      </c>
      <c r="B33">
        <v>10</v>
      </c>
      <c r="C33">
        <v>15</v>
      </c>
      <c r="D33">
        <v>5</v>
      </c>
      <c r="E33">
        <v>10</v>
      </c>
    </row>
    <row r="34" spans="1:5" ht="16">
      <c r="A34" s="13" t="s">
        <v>44</v>
      </c>
      <c r="B34" t="s">
        <v>154</v>
      </c>
      <c r="C34">
        <v>5</v>
      </c>
    </row>
    <row r="35" spans="1:5" ht="16">
      <c r="A35" s="13" t="s">
        <v>44</v>
      </c>
      <c r="B35">
        <v>11</v>
      </c>
      <c r="C35">
        <v>15</v>
      </c>
      <c r="D35">
        <v>6</v>
      </c>
      <c r="E35">
        <v>12</v>
      </c>
    </row>
    <row r="36" spans="1:5" ht="16">
      <c r="A36" s="13" t="s">
        <v>44</v>
      </c>
      <c r="B36">
        <v>12</v>
      </c>
      <c r="C36">
        <v>15</v>
      </c>
      <c r="D36">
        <v>8</v>
      </c>
      <c r="E36">
        <v>16</v>
      </c>
    </row>
    <row r="37" spans="1:5" ht="16">
      <c r="A37" s="13" t="s">
        <v>44</v>
      </c>
      <c r="B37">
        <v>13</v>
      </c>
      <c r="C37">
        <v>15</v>
      </c>
      <c r="D37">
        <v>10</v>
      </c>
      <c r="E37">
        <v>20</v>
      </c>
    </row>
    <row r="38" spans="1:5" ht="16">
      <c r="A38" s="13" t="s">
        <v>44</v>
      </c>
      <c r="B38">
        <v>14</v>
      </c>
      <c r="C38">
        <v>15</v>
      </c>
      <c r="D38">
        <v>12</v>
      </c>
      <c r="E38">
        <v>25</v>
      </c>
    </row>
  </sheetData>
  <mergeCells count="3">
    <mergeCell ref="A1:E1"/>
    <mergeCell ref="A2:E2"/>
    <mergeCell ref="A3:E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  <vt:lpstr>Blind Schedules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2026-09-28T01:04:41Z</dcterms:modified>
</cp:coreProperties>
</file>